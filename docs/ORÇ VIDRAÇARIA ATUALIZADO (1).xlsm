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EstaPasta_de_trabalho"/>
  <bookViews>
    <workbookView xWindow="-120" yWindow="-120" windowWidth="20730" windowHeight="11160" tabRatio="432"/>
  </bookViews>
  <sheets>
    <sheet name="ORÇ" sheetId="6" r:id="rId1"/>
    <sheet name="CUSTO" sheetId="11" r:id="rId2"/>
    <sheet name="CALCULO" sheetId="9" r:id="rId3"/>
    <sheet name="PRODUTOS" sheetId="5" r:id="rId4"/>
    <sheet name="Plan2" sheetId="13" r:id="rId5"/>
    <sheet name="Plan1" sheetId="12" r:id="rId6"/>
    <sheet name="Plan3" sheetId="14" r:id="rId7"/>
  </sheets>
  <externalReferences>
    <externalReference r:id="rId8"/>
  </externalReferences>
  <calcPr calcId="152511"/>
</workbook>
</file>

<file path=xl/calcChain.xml><?xml version="1.0" encoding="utf-8"?>
<calcChain xmlns="http://schemas.openxmlformats.org/spreadsheetml/2006/main">
  <c r="K132" i="9" l="1"/>
  <c r="K135" i="9" s="1"/>
  <c r="K138" i="9"/>
  <c r="J137" i="9"/>
  <c r="J135" i="9"/>
  <c r="J141" i="9"/>
  <c r="M27" i="6" l="1"/>
  <c r="M28" i="6"/>
  <c r="M29" i="6"/>
  <c r="M30" i="6"/>
  <c r="M31" i="6"/>
  <c r="M32" i="6"/>
  <c r="B25" i="6"/>
  <c r="B26" i="6"/>
  <c r="B27" i="6"/>
  <c r="B28" i="6"/>
  <c r="B29" i="6"/>
  <c r="B30" i="6"/>
  <c r="B15" i="6"/>
  <c r="B17" i="6"/>
  <c r="B19" i="6"/>
  <c r="B20" i="6"/>
  <c r="B21" i="6"/>
  <c r="B23" i="6"/>
  <c r="B24" i="6"/>
  <c r="A10" i="11"/>
  <c r="B10" i="11" s="1"/>
  <c r="A11" i="11"/>
  <c r="A12" i="11"/>
  <c r="C12" i="11" s="1"/>
  <c r="A13" i="11"/>
  <c r="C13" i="11" s="1"/>
  <c r="A14" i="11"/>
  <c r="C14" i="11" s="1"/>
  <c r="A15" i="11"/>
  <c r="C15" i="11" s="1"/>
  <c r="A16" i="11"/>
  <c r="C16" i="11" s="1"/>
  <c r="A17" i="11"/>
  <c r="C17" i="11" s="1"/>
  <c r="A18" i="11"/>
  <c r="C18" i="11" s="1"/>
  <c r="A19" i="11"/>
  <c r="C19" i="11" s="1"/>
  <c r="A20" i="11"/>
  <c r="C20" i="11" s="1"/>
  <c r="A21" i="11"/>
  <c r="C21" i="11" s="1"/>
  <c r="A22" i="11"/>
  <c r="C22" i="11" s="1"/>
  <c r="A23" i="11"/>
  <c r="C23" i="11" s="1"/>
  <c r="A24" i="11"/>
  <c r="C24" i="11" s="1"/>
  <c r="B14" i="11" l="1"/>
  <c r="B13" i="11"/>
  <c r="B12" i="11"/>
  <c r="B23" i="11"/>
  <c r="B21" i="11"/>
  <c r="B19" i="11"/>
  <c r="B17" i="11"/>
  <c r="B15" i="11"/>
  <c r="B24" i="11"/>
  <c r="B22" i="11"/>
  <c r="B20" i="11"/>
  <c r="B18" i="11"/>
  <c r="B16" i="11"/>
  <c r="E15" i="11"/>
  <c r="G15" i="11"/>
  <c r="E20" i="11"/>
  <c r="G20" i="11"/>
  <c r="E13" i="11"/>
  <c r="G13" i="11"/>
  <c r="E24" i="11"/>
  <c r="G24" i="11"/>
  <c r="E17" i="11"/>
  <c r="G17" i="11"/>
  <c r="E22" i="11"/>
  <c r="G22" i="11"/>
  <c r="E18" i="11"/>
  <c r="G18" i="11"/>
  <c r="E23" i="11"/>
  <c r="G23" i="11"/>
  <c r="E16" i="11"/>
  <c r="G16" i="11"/>
  <c r="E21" i="11"/>
  <c r="G21" i="11"/>
  <c r="E14" i="11"/>
  <c r="G14" i="11"/>
  <c r="E19" i="11"/>
  <c r="G19" i="11"/>
  <c r="E12" i="11"/>
  <c r="G12" i="11"/>
  <c r="C11" i="11"/>
  <c r="C10" i="11"/>
  <c r="J131" i="9"/>
  <c r="B31" i="6"/>
  <c r="B32" i="6"/>
  <c r="B33" i="6"/>
  <c r="E11" i="11" l="1"/>
  <c r="G11" i="11"/>
  <c r="E10" i="11"/>
  <c r="G10" i="11"/>
  <c r="P143" i="9"/>
  <c r="K143" i="9"/>
  <c r="B14" i="6" l="1"/>
  <c r="L35" i="6"/>
  <c r="K35" i="6"/>
  <c r="J35" i="6"/>
  <c r="H35" i="6"/>
  <c r="D24" i="11" s="1"/>
  <c r="D35" i="6"/>
  <c r="B35" i="6"/>
  <c r="L34" i="6"/>
  <c r="J23" i="11" s="1"/>
  <c r="K34" i="6"/>
  <c r="I23" i="11" s="1"/>
  <c r="J34" i="6"/>
  <c r="H23" i="11" s="1"/>
  <c r="H34" i="6"/>
  <c r="D23" i="11" s="1"/>
  <c r="D34" i="6"/>
  <c r="B34" i="6"/>
  <c r="L33" i="6"/>
  <c r="J22" i="11" s="1"/>
  <c r="K33" i="6"/>
  <c r="I22" i="11" s="1"/>
  <c r="J33" i="6"/>
  <c r="H22" i="11" s="1"/>
  <c r="H33" i="6"/>
  <c r="D22" i="11" s="1"/>
  <c r="D33" i="6"/>
  <c r="L32" i="6"/>
  <c r="J21" i="11" s="1"/>
  <c r="K32" i="6"/>
  <c r="I21" i="11" s="1"/>
  <c r="J32" i="6"/>
  <c r="H21" i="11" s="1"/>
  <c r="H32" i="6"/>
  <c r="D21" i="11" s="1"/>
  <c r="D32" i="6"/>
  <c r="L31" i="6"/>
  <c r="J20" i="11" s="1"/>
  <c r="K31" i="6"/>
  <c r="I20" i="11" s="1"/>
  <c r="J31" i="6"/>
  <c r="H20" i="11" s="1"/>
  <c r="H31" i="6"/>
  <c r="D20" i="11" s="1"/>
  <c r="D31" i="6"/>
  <c r="L30" i="6"/>
  <c r="J19" i="11" s="1"/>
  <c r="K30" i="6"/>
  <c r="I19" i="11" s="1"/>
  <c r="J30" i="6"/>
  <c r="H19" i="11" s="1"/>
  <c r="H30" i="6"/>
  <c r="D19" i="11" s="1"/>
  <c r="D30" i="6"/>
  <c r="L29" i="6"/>
  <c r="J18" i="11" s="1"/>
  <c r="K29" i="6"/>
  <c r="I18" i="11" s="1"/>
  <c r="J29" i="6"/>
  <c r="H18" i="11" s="1"/>
  <c r="H29" i="6"/>
  <c r="D18" i="11" s="1"/>
  <c r="D29" i="6"/>
  <c r="L28" i="6"/>
  <c r="J17" i="11" s="1"/>
  <c r="K28" i="6"/>
  <c r="I17" i="11" s="1"/>
  <c r="J28" i="6"/>
  <c r="H17" i="11" s="1"/>
  <c r="H28" i="6"/>
  <c r="D17" i="11" s="1"/>
  <c r="D28" i="6"/>
  <c r="L27" i="6"/>
  <c r="J16" i="11" s="1"/>
  <c r="K27" i="6"/>
  <c r="I16" i="11" s="1"/>
  <c r="J27" i="6"/>
  <c r="H16" i="11" s="1"/>
  <c r="H27" i="6"/>
  <c r="D16" i="11" s="1"/>
  <c r="D27" i="6"/>
  <c r="K26" i="6"/>
  <c r="I15" i="11" s="1"/>
  <c r="H26" i="6"/>
  <c r="D15" i="11" s="1"/>
  <c r="D26" i="6"/>
  <c r="L25" i="6"/>
  <c r="J14" i="11" s="1"/>
  <c r="K25" i="6"/>
  <c r="I14" i="11" s="1"/>
  <c r="J25" i="6"/>
  <c r="H14" i="11" s="1"/>
  <c r="H25" i="6"/>
  <c r="M25" i="6" s="1"/>
  <c r="D25" i="6"/>
  <c r="K24" i="6"/>
  <c r="I13" i="11" s="1"/>
  <c r="H24" i="6"/>
  <c r="D24" i="6"/>
  <c r="H23" i="6"/>
  <c r="D23" i="6"/>
  <c r="L22" i="6"/>
  <c r="J11" i="11" s="1"/>
  <c r="H22" i="6"/>
  <c r="D22" i="6"/>
  <c r="H19" i="6"/>
  <c r="D14" i="6"/>
  <c r="D15" i="6"/>
  <c r="D16" i="6"/>
  <c r="D17" i="6"/>
  <c r="D18" i="6"/>
  <c r="D19" i="6"/>
  <c r="D20" i="6"/>
  <c r="D21" i="6"/>
  <c r="B36" i="6"/>
  <c r="H15" i="6"/>
  <c r="A4" i="11"/>
  <c r="C4" i="11" s="1"/>
  <c r="A2" i="14"/>
  <c r="J125" i="9"/>
  <c r="J123" i="9"/>
  <c r="M123" i="9" s="1"/>
  <c r="R123" i="9" s="1"/>
  <c r="O123" i="9" s="1"/>
  <c r="P123" i="9" s="1"/>
  <c r="J121" i="9"/>
  <c r="M121" i="9" s="1"/>
  <c r="R121" i="9" s="1"/>
  <c r="O121" i="9" s="1"/>
  <c r="P121" i="9" s="1"/>
  <c r="M119" i="9"/>
  <c r="R119" i="9" s="1"/>
  <c r="O119" i="9" s="1"/>
  <c r="P119" i="9" s="1"/>
  <c r="R113" i="9"/>
  <c r="F43" i="5"/>
  <c r="F44" i="5"/>
  <c r="F45" i="5"/>
  <c r="F46" i="5"/>
  <c r="F47" i="5"/>
  <c r="F48" i="5"/>
  <c r="F49" i="5"/>
  <c r="F50" i="5"/>
  <c r="F51" i="5"/>
  <c r="F52" i="5"/>
  <c r="F53" i="5"/>
  <c r="J107" i="9"/>
  <c r="M107" i="9" s="1"/>
  <c r="R107" i="9" s="1"/>
  <c r="L30" i="9"/>
  <c r="L29" i="9"/>
  <c r="L23" i="9"/>
  <c r="L22" i="9"/>
  <c r="J24" i="9"/>
  <c r="I24" i="9"/>
  <c r="C24" i="9"/>
  <c r="I23" i="9"/>
  <c r="C23" i="9"/>
  <c r="I22" i="9"/>
  <c r="C22" i="9"/>
  <c r="J21" i="9"/>
  <c r="H21" i="9"/>
  <c r="F21" i="9"/>
  <c r="C21" i="9"/>
  <c r="J31" i="9"/>
  <c r="I31" i="9"/>
  <c r="C31" i="9"/>
  <c r="I30" i="9"/>
  <c r="C30" i="9"/>
  <c r="I29" i="9"/>
  <c r="C29" i="9"/>
  <c r="J28" i="9"/>
  <c r="H28" i="9"/>
  <c r="F28" i="9"/>
  <c r="C28" i="9"/>
  <c r="L21" i="6"/>
  <c r="H14" i="6"/>
  <c r="H16" i="6"/>
  <c r="H17" i="6"/>
  <c r="H18" i="6"/>
  <c r="H20" i="6"/>
  <c r="H21" i="6"/>
  <c r="H36" i="6"/>
  <c r="A9" i="11"/>
  <c r="C9" i="11" s="1"/>
  <c r="G9" i="11" s="1"/>
  <c r="A25" i="11"/>
  <c r="C25" i="11" s="1"/>
  <c r="A3" i="11"/>
  <c r="C3" i="11" s="1"/>
  <c r="A5" i="11"/>
  <c r="C5" i="11" s="1"/>
  <c r="A6" i="11"/>
  <c r="B6" i="11" s="1"/>
  <c r="A7" i="11"/>
  <c r="A8" i="11"/>
  <c r="B8" i="11" s="1"/>
  <c r="K17" i="6"/>
  <c r="I6" i="11" s="1"/>
  <c r="J21" i="6"/>
  <c r="K21" i="6"/>
  <c r="D36" i="6"/>
  <c r="J36" i="6"/>
  <c r="H25" i="11" s="1"/>
  <c r="K36" i="6"/>
  <c r="I25" i="11" s="1"/>
  <c r="L36" i="6"/>
  <c r="J25" i="11" s="1"/>
  <c r="R129" i="9"/>
  <c r="O129" i="9" s="1"/>
  <c r="P129" i="9" s="1"/>
  <c r="R127" i="9"/>
  <c r="O127" i="9" s="1"/>
  <c r="P127" i="9" s="1"/>
  <c r="R125" i="9"/>
  <c r="O125" i="9" s="1"/>
  <c r="P125" i="9" s="1"/>
  <c r="M117" i="9"/>
  <c r="R117" i="9" s="1"/>
  <c r="R115" i="9"/>
  <c r="R111" i="9"/>
  <c r="O111" i="9" s="1"/>
  <c r="P111" i="9" s="1"/>
  <c r="R109" i="9"/>
  <c r="O109" i="9" s="1"/>
  <c r="P109" i="9" s="1"/>
  <c r="L139" i="9"/>
  <c r="M139" i="9" s="1"/>
  <c r="O139" i="9" s="1"/>
  <c r="I139" i="9"/>
  <c r="I143" i="9" s="1"/>
  <c r="C139" i="9"/>
  <c r="K141" i="9"/>
  <c r="I138" i="9"/>
  <c r="H138" i="9"/>
  <c r="F138" i="9"/>
  <c r="C138" i="9"/>
  <c r="H137" i="9"/>
  <c r="F137" i="9"/>
  <c r="I137" i="9" s="1"/>
  <c r="C137" i="9"/>
  <c r="B18" i="6" s="1"/>
  <c r="L133" i="9"/>
  <c r="I133" i="9"/>
  <c r="C133" i="9"/>
  <c r="K15" i="6"/>
  <c r="I132" i="9"/>
  <c r="H132" i="9"/>
  <c r="F132" i="9"/>
  <c r="C132" i="9"/>
  <c r="H131" i="9"/>
  <c r="F131" i="9"/>
  <c r="C131" i="9"/>
  <c r="L79" i="9"/>
  <c r="M79" i="9" s="1"/>
  <c r="O79" i="9" s="1"/>
  <c r="C79" i="9"/>
  <c r="L78" i="9"/>
  <c r="I78" i="9"/>
  <c r="C78" i="9"/>
  <c r="L77" i="9"/>
  <c r="M77" i="9" s="1"/>
  <c r="I77" i="9"/>
  <c r="C77" i="9"/>
  <c r="K76" i="9"/>
  <c r="K81" i="9" s="1"/>
  <c r="C76" i="9"/>
  <c r="J75" i="9"/>
  <c r="J81" i="9" s="1"/>
  <c r="H75" i="9"/>
  <c r="F75" i="9"/>
  <c r="C75" i="9"/>
  <c r="L71" i="9"/>
  <c r="M71" i="9" s="1"/>
  <c r="O71" i="9" s="1"/>
  <c r="C71" i="9"/>
  <c r="L70" i="9"/>
  <c r="I70" i="9"/>
  <c r="C70" i="9"/>
  <c r="L69" i="9"/>
  <c r="M69" i="9" s="1"/>
  <c r="I69" i="9"/>
  <c r="C69" i="9"/>
  <c r="K68" i="9"/>
  <c r="M68" i="9" s="1"/>
  <c r="O68" i="9" s="1"/>
  <c r="C68" i="9"/>
  <c r="J67" i="9"/>
  <c r="J73" i="9" s="1"/>
  <c r="H67" i="9"/>
  <c r="F67" i="9"/>
  <c r="C67" i="9"/>
  <c r="L61" i="9"/>
  <c r="M61" i="9" s="1"/>
  <c r="L53" i="9"/>
  <c r="M53" i="9" s="1"/>
  <c r="O53" i="9" s="1"/>
  <c r="F14" i="5"/>
  <c r="F23" i="5"/>
  <c r="J63" i="9"/>
  <c r="M63" i="9" s="1"/>
  <c r="O63" i="9" s="1"/>
  <c r="C63" i="9"/>
  <c r="L62" i="9"/>
  <c r="I62" i="9"/>
  <c r="C62" i="9"/>
  <c r="I61" i="9"/>
  <c r="C61" i="9"/>
  <c r="K60" i="9"/>
  <c r="K65" i="9" s="1"/>
  <c r="C60" i="9"/>
  <c r="J59" i="9"/>
  <c r="J65" i="9" s="1"/>
  <c r="H59" i="9"/>
  <c r="F59" i="9"/>
  <c r="C59" i="9"/>
  <c r="J55" i="9"/>
  <c r="M55" i="9" s="1"/>
  <c r="O55" i="9" s="1"/>
  <c r="C55" i="9"/>
  <c r="L54" i="9"/>
  <c r="I54" i="9"/>
  <c r="C54" i="9"/>
  <c r="I53" i="9"/>
  <c r="C53" i="9"/>
  <c r="K52" i="9"/>
  <c r="C52" i="9"/>
  <c r="J51" i="9"/>
  <c r="J57" i="9" s="1"/>
  <c r="H51" i="9"/>
  <c r="F51" i="9"/>
  <c r="C51" i="9"/>
  <c r="J47" i="9"/>
  <c r="M47" i="9" s="1"/>
  <c r="C47" i="9"/>
  <c r="L46" i="9"/>
  <c r="I46" i="9"/>
  <c r="C46" i="9"/>
  <c r="L45" i="9"/>
  <c r="I45" i="9"/>
  <c r="C45" i="9"/>
  <c r="K44" i="9"/>
  <c r="K49" i="9" s="1"/>
  <c r="I44" i="9"/>
  <c r="H44" i="9"/>
  <c r="C44" i="9"/>
  <c r="J43" i="9"/>
  <c r="J49" i="9" s="1"/>
  <c r="H43" i="9"/>
  <c r="I43" i="9" s="1"/>
  <c r="I49" i="9" s="1"/>
  <c r="F43" i="9"/>
  <c r="C43" i="9"/>
  <c r="I17" i="9"/>
  <c r="C17" i="9"/>
  <c r="L16" i="9"/>
  <c r="I16" i="9"/>
  <c r="C16" i="9"/>
  <c r="L15" i="9"/>
  <c r="I15" i="9"/>
  <c r="C15" i="9"/>
  <c r="J14" i="9"/>
  <c r="H14" i="9"/>
  <c r="F14" i="9"/>
  <c r="C14" i="9"/>
  <c r="H89" i="9"/>
  <c r="F89" i="9"/>
  <c r="H84" i="9"/>
  <c r="F84" i="9"/>
  <c r="J103" i="9"/>
  <c r="I103" i="9"/>
  <c r="C103" i="9"/>
  <c r="L102" i="9"/>
  <c r="L105" i="9" s="1"/>
  <c r="I102" i="9"/>
  <c r="C102" i="9"/>
  <c r="J101" i="9"/>
  <c r="J105" i="9" s="1"/>
  <c r="H101" i="9"/>
  <c r="F101" i="9"/>
  <c r="I101" i="9" s="1"/>
  <c r="I105" i="9" s="1"/>
  <c r="C101" i="9"/>
  <c r="C9" i="9"/>
  <c r="I9" i="9"/>
  <c r="L107" i="9"/>
  <c r="O115" i="9"/>
  <c r="P115" i="9" s="1"/>
  <c r="K36" i="9"/>
  <c r="K41" i="9" s="1"/>
  <c r="K20" i="6" s="1"/>
  <c r="I9" i="11" s="1"/>
  <c r="K84" i="9"/>
  <c r="K87" i="9" s="1"/>
  <c r="K19" i="6" s="1"/>
  <c r="I8" i="11" s="1"/>
  <c r="C10" i="9"/>
  <c r="K90" i="9"/>
  <c r="K93" i="9" s="1"/>
  <c r="K16" i="6" s="1"/>
  <c r="J97" i="9"/>
  <c r="I97" i="9"/>
  <c r="I107" i="9" s="1"/>
  <c r="C97" i="9"/>
  <c r="L96" i="9"/>
  <c r="I96" i="9"/>
  <c r="C96" i="9"/>
  <c r="J95" i="9"/>
  <c r="J99" i="9" s="1"/>
  <c r="H95" i="9"/>
  <c r="F95" i="9"/>
  <c r="C95" i="9"/>
  <c r="L91" i="9"/>
  <c r="I91" i="9"/>
  <c r="C91" i="9"/>
  <c r="I90" i="9"/>
  <c r="C90" i="9"/>
  <c r="J89" i="9"/>
  <c r="J93" i="9" s="1"/>
  <c r="L23" i="6" s="1"/>
  <c r="J12" i="11" s="1"/>
  <c r="C89" i="9"/>
  <c r="H83" i="9"/>
  <c r="F83" i="9"/>
  <c r="C39" i="9"/>
  <c r="C85" i="9"/>
  <c r="L85" i="9"/>
  <c r="L87" i="9" s="1"/>
  <c r="J14" i="6" s="1"/>
  <c r="H3" i="11" s="1"/>
  <c r="I85" i="9"/>
  <c r="I84" i="9"/>
  <c r="C84" i="9"/>
  <c r="J83" i="9"/>
  <c r="J87" i="9" s="1"/>
  <c r="L19" i="6" s="1"/>
  <c r="J8" i="11" s="1"/>
  <c r="C83" i="9"/>
  <c r="H36" i="9"/>
  <c r="J39" i="9"/>
  <c r="M39" i="9" s="1"/>
  <c r="L38" i="9"/>
  <c r="I38" i="9"/>
  <c r="C38" i="9"/>
  <c r="F28" i="5"/>
  <c r="L37" i="9"/>
  <c r="I37" i="9"/>
  <c r="C37" i="9"/>
  <c r="I36" i="9"/>
  <c r="C36" i="9"/>
  <c r="J35" i="9"/>
  <c r="J41" i="9" s="1"/>
  <c r="H35" i="9"/>
  <c r="F35" i="9"/>
  <c r="C35" i="9"/>
  <c r="H6" i="9"/>
  <c r="F6" i="9"/>
  <c r="K14" i="6"/>
  <c r="I3" i="11" s="1"/>
  <c r="F35" i="5"/>
  <c r="F36" i="5"/>
  <c r="F37" i="5"/>
  <c r="F38" i="5"/>
  <c r="F39" i="5"/>
  <c r="F33" i="5"/>
  <c r="F32" i="5"/>
  <c r="J10" i="9"/>
  <c r="I10" i="9"/>
  <c r="C8" i="9"/>
  <c r="I7" i="9"/>
  <c r="C7" i="9"/>
  <c r="J6" i="9"/>
  <c r="L20" i="6"/>
  <c r="J9" i="11" s="1"/>
  <c r="C6" i="9"/>
  <c r="F19" i="5"/>
  <c r="F21" i="5"/>
  <c r="I8" i="9"/>
  <c r="F30" i="5"/>
  <c r="F4" i="5"/>
  <c r="F34" i="5"/>
  <c r="F15" i="5"/>
  <c r="F17" i="5"/>
  <c r="F9" i="5"/>
  <c r="F11" i="5"/>
  <c r="F13" i="5"/>
  <c r="F8" i="5"/>
  <c r="F22" i="5"/>
  <c r="F6" i="5"/>
  <c r="F12" i="5"/>
  <c r="F18" i="5"/>
  <c r="F40" i="5"/>
  <c r="F41" i="5"/>
  <c r="F42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M10" i="6"/>
  <c r="M133" i="9" l="1"/>
  <c r="R133" i="9" s="1"/>
  <c r="L135" i="9"/>
  <c r="B16" i="6"/>
  <c r="B22" i="6"/>
  <c r="B11" i="11"/>
  <c r="I5" i="11"/>
  <c r="B7" i="11"/>
  <c r="K23" i="6"/>
  <c r="I12" i="11" s="1"/>
  <c r="J12" i="9"/>
  <c r="L18" i="6" s="1"/>
  <c r="J7" i="11" s="1"/>
  <c r="J19" i="6"/>
  <c r="H8" i="11" s="1"/>
  <c r="L16" i="6"/>
  <c r="J5" i="11" s="1"/>
  <c r="M9" i="9"/>
  <c r="R9" i="9" s="1"/>
  <c r="O9" i="9" s="1"/>
  <c r="L19" i="11"/>
  <c r="L20" i="11"/>
  <c r="D11" i="11"/>
  <c r="D14" i="11"/>
  <c r="K14" i="11"/>
  <c r="D12" i="11"/>
  <c r="D10" i="11"/>
  <c r="M21" i="6"/>
  <c r="K10" i="11" s="1"/>
  <c r="D13" i="11"/>
  <c r="L23" i="11"/>
  <c r="L18" i="11"/>
  <c r="L14" i="11"/>
  <c r="L16" i="11"/>
  <c r="L21" i="11"/>
  <c r="I10" i="11"/>
  <c r="H10" i="11"/>
  <c r="L17" i="11"/>
  <c r="L22" i="11"/>
  <c r="H24" i="11"/>
  <c r="I24" i="11"/>
  <c r="J24" i="11"/>
  <c r="J10" i="11"/>
  <c r="M33" i="6"/>
  <c r="M34" i="6"/>
  <c r="I4" i="11"/>
  <c r="C6" i="11"/>
  <c r="G6" i="11" s="1"/>
  <c r="M36" i="6"/>
  <c r="M35" i="6"/>
  <c r="K24" i="11" s="1"/>
  <c r="C8" i="11"/>
  <c r="D8" i="11" s="1"/>
  <c r="M30" i="9"/>
  <c r="R30" i="9" s="1"/>
  <c r="L14" i="6"/>
  <c r="J3" i="11" s="1"/>
  <c r="M70" i="9"/>
  <c r="O70" i="9" s="1"/>
  <c r="M37" i="9"/>
  <c r="R37" i="9" s="1"/>
  <c r="O37" i="9" s="1"/>
  <c r="M29" i="9"/>
  <c r="R29" i="9" s="1"/>
  <c r="M22" i="9"/>
  <c r="R22" i="9" s="1"/>
  <c r="O22" i="9" s="1"/>
  <c r="D9" i="11"/>
  <c r="E25" i="11"/>
  <c r="D25" i="11"/>
  <c r="B25" i="11"/>
  <c r="G25" i="11"/>
  <c r="C7" i="11"/>
  <c r="B9" i="11"/>
  <c r="E9" i="11"/>
  <c r="B4" i="11"/>
  <c r="R8" i="9"/>
  <c r="O8" i="9" s="1"/>
  <c r="J26" i="9"/>
  <c r="L41" i="9"/>
  <c r="J20" i="6" s="1"/>
  <c r="H9" i="11" s="1"/>
  <c r="B5" i="11"/>
  <c r="L141" i="9"/>
  <c r="J22" i="6" s="1"/>
  <c r="H11" i="11" s="1"/>
  <c r="M132" i="9"/>
  <c r="O132" i="9" s="1"/>
  <c r="G3" i="11"/>
  <c r="D3" i="11"/>
  <c r="B3" i="11"/>
  <c r="M7" i="9"/>
  <c r="R7" i="9" s="1"/>
  <c r="O7" i="9" s="1"/>
  <c r="M10" i="9"/>
  <c r="R10" i="9" s="1"/>
  <c r="O10" i="9" s="1"/>
  <c r="I83" i="9"/>
  <c r="I87" i="9" s="1"/>
  <c r="M60" i="9"/>
  <c r="O60" i="9" s="1"/>
  <c r="I67" i="9"/>
  <c r="I73" i="9" s="1"/>
  <c r="J33" i="9"/>
  <c r="L26" i="6" s="1"/>
  <c r="J15" i="11" s="1"/>
  <c r="L26" i="9"/>
  <c r="I141" i="9"/>
  <c r="M137" i="9"/>
  <c r="M97" i="9"/>
  <c r="R97" i="9" s="1"/>
  <c r="M85" i="9"/>
  <c r="R85" i="9" s="1"/>
  <c r="I35" i="9"/>
  <c r="I41" i="9" s="1"/>
  <c r="M38" i="9"/>
  <c r="I95" i="9"/>
  <c r="M95" i="9" s="1"/>
  <c r="K73" i="9"/>
  <c r="O117" i="9"/>
  <c r="P117" i="9" s="1"/>
  <c r="O107" i="9"/>
  <c r="P107" i="9" s="1"/>
  <c r="M103" i="9"/>
  <c r="R103" i="9" s="1"/>
  <c r="I89" i="9"/>
  <c r="I93" i="9" s="1"/>
  <c r="J19" i="9"/>
  <c r="L24" i="6" s="1"/>
  <c r="J13" i="11" s="1"/>
  <c r="M44" i="9"/>
  <c r="R44" i="9" s="1"/>
  <c r="M45" i="9"/>
  <c r="R45" i="9" s="1"/>
  <c r="M46" i="9"/>
  <c r="M54" i="9"/>
  <c r="O54" i="9" s="1"/>
  <c r="L73" i="9"/>
  <c r="I75" i="9"/>
  <c r="I81" i="9" s="1"/>
  <c r="I131" i="9"/>
  <c r="M131" i="9" s="1"/>
  <c r="I21" i="9"/>
  <c r="M21" i="9" s="1"/>
  <c r="R21" i="9" s="1"/>
  <c r="L93" i="9"/>
  <c r="M91" i="9"/>
  <c r="M96" i="9"/>
  <c r="O96" i="9" s="1"/>
  <c r="L99" i="9"/>
  <c r="O61" i="9"/>
  <c r="R61" i="9"/>
  <c r="O77" i="9"/>
  <c r="R77" i="9"/>
  <c r="L12" i="9"/>
  <c r="I6" i="9"/>
  <c r="I12" i="9" s="1"/>
  <c r="M102" i="9"/>
  <c r="L49" i="9"/>
  <c r="R139" i="9"/>
  <c r="I14" i="9"/>
  <c r="M15" i="9"/>
  <c r="R17" i="9"/>
  <c r="O17" i="9" s="1"/>
  <c r="I51" i="9"/>
  <c r="I59" i="9"/>
  <c r="I65" i="9" s="1"/>
  <c r="O133" i="9"/>
  <c r="O113" i="9"/>
  <c r="P113" i="9" s="1"/>
  <c r="I28" i="9"/>
  <c r="M28" i="9" s="1"/>
  <c r="R28" i="9" s="1"/>
  <c r="M31" i="9"/>
  <c r="R31" i="9" s="1"/>
  <c r="M24" i="9"/>
  <c r="R24" i="9" s="1"/>
  <c r="O24" i="9" s="1"/>
  <c r="M23" i="9"/>
  <c r="R23" i="9" s="1"/>
  <c r="O23" i="9" s="1"/>
  <c r="L33" i="9"/>
  <c r="J26" i="6" s="1"/>
  <c r="H15" i="11" s="1"/>
  <c r="K57" i="9"/>
  <c r="M52" i="9"/>
  <c r="M62" i="9"/>
  <c r="O62" i="9" s="1"/>
  <c r="L65" i="9"/>
  <c r="O69" i="9"/>
  <c r="R69" i="9"/>
  <c r="M138" i="9"/>
  <c r="M36" i="9"/>
  <c r="M90" i="9"/>
  <c r="M84" i="9"/>
  <c r="M101" i="9"/>
  <c r="M43" i="9"/>
  <c r="L57" i="9"/>
  <c r="M76" i="9"/>
  <c r="O76" i="9" s="1"/>
  <c r="L19" i="9"/>
  <c r="J24" i="6" s="1"/>
  <c r="H13" i="11" s="1"/>
  <c r="M78" i="9"/>
  <c r="O78" i="9" s="1"/>
  <c r="L81" i="9"/>
  <c r="G5" i="11"/>
  <c r="D5" i="11"/>
  <c r="E5" i="11"/>
  <c r="E4" i="11"/>
  <c r="G4" i="11"/>
  <c r="D4" i="11"/>
  <c r="E3" i="11"/>
  <c r="M135" i="9" l="1"/>
  <c r="K18" i="6"/>
  <c r="I7" i="11" s="1"/>
  <c r="K22" i="6"/>
  <c r="M20" i="6"/>
  <c r="I20" i="6" s="1"/>
  <c r="M19" i="6"/>
  <c r="I19" i="6" s="1"/>
  <c r="J17" i="6"/>
  <c r="H6" i="11" s="1"/>
  <c r="J18" i="6"/>
  <c r="H7" i="11" s="1"/>
  <c r="M26" i="6"/>
  <c r="K15" i="11" s="1"/>
  <c r="J16" i="6"/>
  <c r="M16" i="6" s="1"/>
  <c r="J23" i="6"/>
  <c r="M24" i="6"/>
  <c r="K13" i="11" s="1"/>
  <c r="L15" i="6"/>
  <c r="J4" i="11" s="1"/>
  <c r="L17" i="6"/>
  <c r="J6" i="11" s="1"/>
  <c r="I21" i="6"/>
  <c r="I25" i="6"/>
  <c r="M14" i="11"/>
  <c r="L24" i="11"/>
  <c r="M24" i="11" s="1"/>
  <c r="L10" i="11"/>
  <c r="M10" i="11" s="1"/>
  <c r="I32" i="6"/>
  <c r="K21" i="11"/>
  <c r="M21" i="11" s="1"/>
  <c r="I28" i="6"/>
  <c r="K17" i="11"/>
  <c r="M17" i="11" s="1"/>
  <c r="I29" i="6"/>
  <c r="K18" i="11"/>
  <c r="M18" i="11" s="1"/>
  <c r="I30" i="6"/>
  <c r="K19" i="11"/>
  <c r="M19" i="11" s="1"/>
  <c r="I34" i="6"/>
  <c r="K23" i="11"/>
  <c r="M23" i="11" s="1"/>
  <c r="I27" i="6"/>
  <c r="K16" i="11"/>
  <c r="M16" i="11" s="1"/>
  <c r="I33" i="6"/>
  <c r="K22" i="11"/>
  <c r="M22" i="11" s="1"/>
  <c r="I31" i="6"/>
  <c r="K20" i="11"/>
  <c r="M20" i="11" s="1"/>
  <c r="I35" i="6"/>
  <c r="K25" i="11"/>
  <c r="I36" i="6"/>
  <c r="E6" i="11"/>
  <c r="D6" i="11"/>
  <c r="M83" i="9"/>
  <c r="R83" i="9" s="1"/>
  <c r="G8" i="11"/>
  <c r="E8" i="11"/>
  <c r="M75" i="9"/>
  <c r="M81" i="9" s="1"/>
  <c r="L25" i="11"/>
  <c r="O30" i="9"/>
  <c r="M6" i="9"/>
  <c r="R6" i="9" s="1"/>
  <c r="R12" i="9" s="1"/>
  <c r="M67" i="9"/>
  <c r="M73" i="9" s="1"/>
  <c r="I26" i="9"/>
  <c r="I135" i="9"/>
  <c r="M14" i="6"/>
  <c r="O29" i="9"/>
  <c r="M33" i="9"/>
  <c r="O103" i="9"/>
  <c r="I99" i="9"/>
  <c r="M35" i="9"/>
  <c r="R35" i="9" s="1"/>
  <c r="M12" i="9"/>
  <c r="J15" i="6"/>
  <c r="G7" i="11"/>
  <c r="D7" i="11"/>
  <c r="E7" i="11"/>
  <c r="M26" i="9"/>
  <c r="O97" i="9"/>
  <c r="M19" i="9"/>
  <c r="O45" i="9"/>
  <c r="R132" i="9"/>
  <c r="O28" i="9"/>
  <c r="P28" i="9" s="1"/>
  <c r="P33" i="9" s="1"/>
  <c r="L15" i="11" s="1"/>
  <c r="O85" i="9"/>
  <c r="M59" i="9"/>
  <c r="M65" i="9" s="1"/>
  <c r="R96" i="9"/>
  <c r="O44" i="9"/>
  <c r="R33" i="9"/>
  <c r="M89" i="9"/>
  <c r="R89" i="9" s="1"/>
  <c r="R137" i="9"/>
  <c r="O137" i="9" s="1"/>
  <c r="P137" i="9" s="1"/>
  <c r="P141" i="9" s="1"/>
  <c r="R26" i="9"/>
  <c r="I57" i="9"/>
  <c r="M51" i="9"/>
  <c r="M57" i="9" s="1"/>
  <c r="R15" i="9"/>
  <c r="O15" i="9" s="1"/>
  <c r="R131" i="9"/>
  <c r="I33" i="9"/>
  <c r="I19" i="9"/>
  <c r="M14" i="9"/>
  <c r="R102" i="9"/>
  <c r="O102" i="9"/>
  <c r="O91" i="9"/>
  <c r="R91" i="9"/>
  <c r="R16" i="9"/>
  <c r="R43" i="9"/>
  <c r="R49" i="9" s="1"/>
  <c r="M49" i="9"/>
  <c r="R84" i="9"/>
  <c r="O84" i="9" s="1"/>
  <c r="O90" i="9"/>
  <c r="R90" i="9"/>
  <c r="M141" i="9"/>
  <c r="R138" i="9"/>
  <c r="O138" i="9"/>
  <c r="O52" i="9"/>
  <c r="M99" i="9"/>
  <c r="R95" i="9"/>
  <c r="O95" i="9" s="1"/>
  <c r="R101" i="9"/>
  <c r="M105" i="9"/>
  <c r="R36" i="9"/>
  <c r="O36" i="9" s="1"/>
  <c r="O21" i="9"/>
  <c r="O31" i="9"/>
  <c r="I11" i="11" l="1"/>
  <c r="M22" i="6"/>
  <c r="I22" i="6" s="1"/>
  <c r="K9" i="11"/>
  <c r="M15" i="6"/>
  <c r="H5" i="11"/>
  <c r="I16" i="6"/>
  <c r="K8" i="11"/>
  <c r="I26" i="6"/>
  <c r="M18" i="6"/>
  <c r="I18" i="6" s="1"/>
  <c r="M15" i="11"/>
  <c r="I24" i="6"/>
  <c r="H12" i="11"/>
  <c r="M23" i="6"/>
  <c r="M17" i="6"/>
  <c r="I17" i="6" s="1"/>
  <c r="R75" i="9"/>
  <c r="R81" i="9" s="1"/>
  <c r="M25" i="11"/>
  <c r="M87" i="9"/>
  <c r="O83" i="9"/>
  <c r="P83" i="9" s="1"/>
  <c r="I14" i="6"/>
  <c r="R67" i="9"/>
  <c r="R73" i="9" s="1"/>
  <c r="K3" i="11"/>
  <c r="R59" i="9"/>
  <c r="R65" i="9" s="1"/>
  <c r="O43" i="9"/>
  <c r="O49" i="9" s="1"/>
  <c r="O35" i="9"/>
  <c r="P35" i="9" s="1"/>
  <c r="P41" i="9" s="1"/>
  <c r="L9" i="11" s="1"/>
  <c r="M41" i="9"/>
  <c r="H4" i="11"/>
  <c r="M93" i="9"/>
  <c r="O33" i="9"/>
  <c r="R135" i="9"/>
  <c r="R105" i="9"/>
  <c r="R41" i="9"/>
  <c r="O6" i="9"/>
  <c r="O12" i="9" s="1"/>
  <c r="R87" i="9"/>
  <c r="R93" i="9"/>
  <c r="O89" i="9"/>
  <c r="P89" i="9" s="1"/>
  <c r="P93" i="9" s="1"/>
  <c r="R141" i="9"/>
  <c r="R143" i="9" s="1"/>
  <c r="R99" i="9"/>
  <c r="O141" i="9"/>
  <c r="O143" i="9" s="1"/>
  <c r="R14" i="9"/>
  <c r="O14" i="9" s="1"/>
  <c r="P14" i="9" s="1"/>
  <c r="P19" i="9" s="1"/>
  <c r="L13" i="11" s="1"/>
  <c r="M13" i="11" s="1"/>
  <c r="O131" i="9"/>
  <c r="O135" i="9" s="1"/>
  <c r="R51" i="9"/>
  <c r="R57" i="9" s="1"/>
  <c r="P21" i="9"/>
  <c r="P26" i="9" s="1"/>
  <c r="O26" i="9"/>
  <c r="O99" i="9"/>
  <c r="P95" i="9"/>
  <c r="P99" i="9" s="1"/>
  <c r="O101" i="9"/>
  <c r="O16" i="9"/>
  <c r="K11" i="11" l="1"/>
  <c r="M9" i="11"/>
  <c r="L12" i="11"/>
  <c r="K5" i="11"/>
  <c r="K7" i="11"/>
  <c r="K12" i="11"/>
  <c r="M12" i="11" s="1"/>
  <c r="I23" i="6"/>
  <c r="O75" i="9"/>
  <c r="P75" i="9" s="1"/>
  <c r="P81" i="9" s="1"/>
  <c r="M38" i="6"/>
  <c r="K6" i="11"/>
  <c r="O87" i="9"/>
  <c r="I15" i="6"/>
  <c r="O41" i="9"/>
  <c r="O67" i="9"/>
  <c r="O73" i="9" s="1"/>
  <c r="O59" i="9"/>
  <c r="P59" i="9" s="1"/>
  <c r="P65" i="9" s="1"/>
  <c r="P43" i="9"/>
  <c r="P49" i="9" s="1"/>
  <c r="K4" i="11"/>
  <c r="P87" i="9"/>
  <c r="O93" i="9"/>
  <c r="P6" i="9"/>
  <c r="P12" i="9" s="1"/>
  <c r="L7" i="11" s="1"/>
  <c r="O51" i="9"/>
  <c r="P51" i="9" s="1"/>
  <c r="P57" i="9" s="1"/>
  <c r="O19" i="9"/>
  <c r="P131" i="9"/>
  <c r="R19" i="9"/>
  <c r="P101" i="9"/>
  <c r="P105" i="9" s="1"/>
  <c r="O105" i="9"/>
  <c r="P135" i="9" l="1"/>
  <c r="L11" i="11"/>
  <c r="M11" i="11" s="1"/>
  <c r="M7" i="11"/>
  <c r="P67" i="9"/>
  <c r="P73" i="9" s="1"/>
  <c r="O81" i="9"/>
  <c r="K27" i="11"/>
  <c r="K29" i="11" s="1"/>
  <c r="L5" i="11"/>
  <c r="M5" i="11" s="1"/>
  <c r="L6" i="11"/>
  <c r="M6" i="11" s="1"/>
  <c r="L3" i="11"/>
  <c r="M3" i="11" s="1"/>
  <c r="L8" i="11"/>
  <c r="M8" i="11" s="1"/>
  <c r="O65" i="9"/>
  <c r="L4" i="11"/>
  <c r="M4" i="11" s="1"/>
  <c r="O57" i="9"/>
  <c r="M27" i="11" l="1"/>
  <c r="L27" i="11" s="1"/>
  <c r="M29" i="11" s="1"/>
</calcChain>
</file>

<file path=xl/sharedStrings.xml><?xml version="1.0" encoding="utf-8"?>
<sst xmlns="http://schemas.openxmlformats.org/spreadsheetml/2006/main" count="614" uniqueCount="180">
  <si>
    <t>COD</t>
  </si>
  <si>
    <t>DESCRIÇÃO</t>
  </si>
  <si>
    <t>UNIDADE</t>
  </si>
  <si>
    <t>DADOS DO CLIENTE</t>
  </si>
  <si>
    <t>DETALHAMENTO DO PEDIDO</t>
  </si>
  <si>
    <t>UND</t>
  </si>
  <si>
    <t>VL. TOTAL</t>
  </si>
  <si>
    <t>VALOR TOTAL DO PEDIDO</t>
  </si>
  <si>
    <t>OBSERVAÇÕES</t>
  </si>
  <si>
    <t>M²</t>
  </si>
  <si>
    <t>CNPJ/ CPF:</t>
  </si>
  <si>
    <t>CONTATO:</t>
  </si>
  <si>
    <t>CLIENTE:</t>
  </si>
  <si>
    <t>ENDEREÇO:</t>
  </si>
  <si>
    <t>CIDADE:</t>
  </si>
  <si>
    <t>REPRESENTANTE:</t>
  </si>
  <si>
    <t xml:space="preserve">                                         LIVRAMENTO DE NOSSA SENHORA- BA                        </t>
  </si>
  <si>
    <t>AV. GIL FERREIRA PESSOA, Nº 70 - MATINHA</t>
  </si>
  <si>
    <t>CNPJ: 14.032.864/0001-08</t>
  </si>
  <si>
    <t xml:space="preserve">TEL: ( 77 )  </t>
  </si>
  <si>
    <t>m²</t>
  </si>
  <si>
    <t>und</t>
  </si>
  <si>
    <t>KP</t>
  </si>
  <si>
    <t>BPC</t>
  </si>
  <si>
    <t>VALOR COMPRA</t>
  </si>
  <si>
    <t>MARGEM DE LUCRO</t>
  </si>
  <si>
    <t>VALOR UNITÁRIO MANUAL</t>
  </si>
  <si>
    <t xml:space="preserve">VALOR  VENDA PRODUTO </t>
  </si>
  <si>
    <t>PX40</t>
  </si>
  <si>
    <t>KJ</t>
  </si>
  <si>
    <t>EB4</t>
  </si>
  <si>
    <t>EC4</t>
  </si>
  <si>
    <t>FP</t>
  </si>
  <si>
    <t>JV8</t>
  </si>
  <si>
    <t>BV</t>
  </si>
  <si>
    <t xml:space="preserve">ADESIVO </t>
  </si>
  <si>
    <t>BATEDOR PORTA DE CORRER</t>
  </si>
  <si>
    <t>KIT ALUMÍNIO JANELA</t>
  </si>
  <si>
    <t>PUXADOR INOX 40CM</t>
  </si>
  <si>
    <t>ESPELHO BISOTADO 4MM</t>
  </si>
  <si>
    <t>ESPELHO COMUM 4MM</t>
  </si>
  <si>
    <t>FECHA PIA</t>
  </si>
  <si>
    <t>VC6</t>
  </si>
  <si>
    <t>VIDRO COMUM 6mm</t>
  </si>
  <si>
    <t>VIDRO COMUM 4mm</t>
  </si>
  <si>
    <t>VC4</t>
  </si>
  <si>
    <t>JANELA INCOLOR 8mm</t>
  </si>
  <si>
    <t>JI8</t>
  </si>
  <si>
    <t>BI</t>
  </si>
  <si>
    <t>%</t>
  </si>
  <si>
    <t>LUCRO</t>
  </si>
  <si>
    <t>CUSTO</t>
  </si>
  <si>
    <t>QTD.</t>
  </si>
  <si>
    <t>COMP.</t>
  </si>
  <si>
    <t>LARG.</t>
  </si>
  <si>
    <t>VALOR</t>
  </si>
  <si>
    <t>UNID</t>
  </si>
  <si>
    <t>UNT VL</t>
  </si>
  <si>
    <t>AD</t>
  </si>
  <si>
    <t>JATEADO</t>
  </si>
  <si>
    <t>JAT</t>
  </si>
  <si>
    <t>KIT PORTA PIVOTANTE</t>
  </si>
  <si>
    <t>KPP</t>
  </si>
  <si>
    <t>ML</t>
  </si>
  <si>
    <t>VV8</t>
  </si>
  <si>
    <t>VI8</t>
  </si>
  <si>
    <t>VI10</t>
  </si>
  <si>
    <t xml:space="preserve">VIDRO INCOLOR 10mm </t>
  </si>
  <si>
    <t>VIDRO INCOLOR 8mm</t>
  </si>
  <si>
    <t>VIDRO INCOLOR 6mm</t>
  </si>
  <si>
    <t>VI6</t>
  </si>
  <si>
    <t>,</t>
  </si>
  <si>
    <t>X</t>
  </si>
  <si>
    <t>VIDRO</t>
  </si>
  <si>
    <t>PUXADOR</t>
  </si>
  <si>
    <t>KIT ALUMÍNIO</t>
  </si>
  <si>
    <t>KA</t>
  </si>
  <si>
    <t>KF</t>
  </si>
  <si>
    <t>KIT FERRAGEM PORTA CORRER</t>
  </si>
  <si>
    <t>KIT PIVOTANTE</t>
  </si>
  <si>
    <t>KIT INTERNO</t>
  </si>
  <si>
    <t>KIT EXTERNO</t>
  </si>
  <si>
    <t>KB</t>
  </si>
  <si>
    <t>KIT BASCULANTE</t>
  </si>
  <si>
    <t>D</t>
  </si>
  <si>
    <t>PÇ FX</t>
  </si>
  <si>
    <t>PÇ ML</t>
  </si>
  <si>
    <t>VL M²</t>
  </si>
  <si>
    <t>Jateamento</t>
  </si>
  <si>
    <t>Porta Pivotante Incolor 8mm</t>
  </si>
  <si>
    <t>PPI8</t>
  </si>
  <si>
    <t>JT</t>
  </si>
  <si>
    <t>Assinatura Cliente</t>
  </si>
  <si>
    <t>VIDRO VERDE / FUMÊ 10mm</t>
  </si>
  <si>
    <t>VIDRO VERDE / FUMÊ 8mm</t>
  </si>
  <si>
    <t>BVF</t>
  </si>
  <si>
    <t>BOX INCOLOR</t>
  </si>
  <si>
    <t>BOX VERDE / FUMÊ</t>
  </si>
  <si>
    <t>JVF8</t>
  </si>
  <si>
    <t>JANELA VERDE / FUMÊ 8MM</t>
  </si>
  <si>
    <t>Vitrô Piv. / Basc. Verde / Fumê 8mm</t>
  </si>
  <si>
    <t>PBPV</t>
  </si>
  <si>
    <t>PBPI</t>
  </si>
  <si>
    <t>Vitrô Piv. / Basc. Incolor 8mm</t>
  </si>
  <si>
    <t>PGI</t>
  </si>
  <si>
    <t>PGV</t>
  </si>
  <si>
    <t>Pivotante / Basculante Incolor</t>
  </si>
  <si>
    <t>Pivotante / Basculante Verde / Fumê</t>
  </si>
  <si>
    <t>VV10</t>
  </si>
  <si>
    <t>VIDRO PIVOTANTE VERDE / FUMÊ G.</t>
  </si>
  <si>
    <t>VPGI</t>
  </si>
  <si>
    <t>VPGV</t>
  </si>
  <si>
    <t>VIDRO PIVOTANTE INCOLOR G.</t>
  </si>
  <si>
    <t>BATE FECHA JANELA</t>
  </si>
  <si>
    <t>BFJ</t>
  </si>
  <si>
    <t>BATE FECHA</t>
  </si>
  <si>
    <t>Janela Verde / Fumê 8mm</t>
  </si>
  <si>
    <t>PPV8</t>
  </si>
  <si>
    <t>Porta Pivotante Verde / Fumê 8mm</t>
  </si>
  <si>
    <t>KIT ALUMÍNIO EXTERNO</t>
  </si>
  <si>
    <t>KAE</t>
  </si>
  <si>
    <t>Porta de Correr 2F Incolor 8mm</t>
  </si>
  <si>
    <t>Porta de Correr 2F Verde / Fumê 8mm</t>
  </si>
  <si>
    <t>FECHADURA PORTA CORRER VA</t>
  </si>
  <si>
    <t>FVA</t>
  </si>
  <si>
    <t>FVV</t>
  </si>
  <si>
    <t>FECHADURA PORTA CORRER VV</t>
  </si>
  <si>
    <t>FECHADURA</t>
  </si>
  <si>
    <t>Porta de Correr 4F Incolor 8mm</t>
  </si>
  <si>
    <t>PCI2</t>
  </si>
  <si>
    <t>PCV2</t>
  </si>
  <si>
    <t>PCI4</t>
  </si>
  <si>
    <t>PCV4</t>
  </si>
  <si>
    <t>Porta de Correr 4F Verde / Fumê 8mm</t>
  </si>
  <si>
    <t>Porta de Correr Externa Incolor 8mm</t>
  </si>
  <si>
    <t>PCEI</t>
  </si>
  <si>
    <t>PCEV</t>
  </si>
  <si>
    <t>Porta de Correr Externa Verde / Fumê 8mm</t>
  </si>
  <si>
    <t>BATEDOR</t>
  </si>
  <si>
    <t>KAB</t>
  </si>
  <si>
    <t>KIT ACESSORIO BOX</t>
  </si>
  <si>
    <t>KIT AC.</t>
  </si>
  <si>
    <t>VIDRO BOX VERDE / FUMÊ</t>
  </si>
  <si>
    <t>VBV</t>
  </si>
  <si>
    <t>Janela Incolor 8mm</t>
  </si>
  <si>
    <t>Espelho Bisotado 4MM</t>
  </si>
  <si>
    <t>Espelho Comum 4MM</t>
  </si>
  <si>
    <t>Fecha Pia Acrilico</t>
  </si>
  <si>
    <t>Fecha Pia Vidro</t>
  </si>
  <si>
    <t>FPA</t>
  </si>
  <si>
    <t>FPV</t>
  </si>
  <si>
    <t>FV</t>
  </si>
  <si>
    <t>Fechamento em Vidro</t>
  </si>
  <si>
    <t>Vidro Fixo / Bandeira Incolor 8mm</t>
  </si>
  <si>
    <t>VFI</t>
  </si>
  <si>
    <t>VFV</t>
  </si>
  <si>
    <t>Vidro Fixo / Bandeira Verde / Fumê 8mm</t>
  </si>
  <si>
    <t>Vidro Comum 6mm</t>
  </si>
  <si>
    <t>Vidro Comum 4mm</t>
  </si>
  <si>
    <t>CODIGO</t>
  </si>
  <si>
    <t>ALTU.</t>
  </si>
  <si>
    <t>CUSTO ORÇAMENTO</t>
  </si>
  <si>
    <t>x</t>
  </si>
  <si>
    <t>CALCULO</t>
  </si>
  <si>
    <t>ADCI</t>
  </si>
  <si>
    <t>Porta Pivotante 2F Verde / Fumê 8mm</t>
  </si>
  <si>
    <t>PP2V8</t>
  </si>
  <si>
    <t>VALOR BRUTO SEM DESCONTO</t>
  </si>
  <si>
    <t xml:space="preserve">Box Incolor 8mm </t>
  </si>
  <si>
    <t xml:space="preserve">Box Verde / Fumê 8mm </t>
  </si>
  <si>
    <t>ALT</t>
  </si>
  <si>
    <t>Vidro Comum Reflect Bronze 04mm</t>
  </si>
  <si>
    <t>VCR4</t>
  </si>
  <si>
    <t>PPI10</t>
  </si>
  <si>
    <t>Porta Pivotante Incolor 10mm</t>
  </si>
  <si>
    <t>VALOR A VISTA</t>
  </si>
  <si>
    <t>REF.:</t>
  </si>
  <si>
    <t>(77) 9.9995-9280 / (77) 3444-1022 / (77) 9,8145-5902</t>
  </si>
  <si>
    <t>FX</t>
  </si>
  <si>
    <t>FIXADOR DE PORTA PIV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</si>
</sst>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0.0"/>
  </numFmts>
  <fonts count="19" x14ac:knownFonts="1"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2"/>
      <color indexed="9"/>
      <name val="Arial"/>
      <family val="2"/>
    </font>
    <font>
      <sz val="13"/>
      <name val="Arial"/>
      <family val="2"/>
    </font>
    <font>
      <sz val="14"/>
      <name val="Arial"/>
      <family val="2"/>
    </font>
    <font>
      <sz val="22"/>
      <name val="Arial"/>
      <family val="2"/>
    </font>
    <font>
      <b/>
      <sz val="14"/>
      <color rgb="FF00B050"/>
      <name val="Arial"/>
      <family val="2"/>
    </font>
    <font>
      <b/>
      <sz val="11"/>
      <color theme="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8"/>
      <name val="Microsoft JhengHei UI"/>
      <family val="2"/>
    </font>
    <font>
      <sz val="8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54"/>
        <bgColor indexed="23"/>
      </patternFill>
    </fill>
    <fill>
      <patternFill patternType="solid">
        <fgColor indexed="26"/>
        <bgColor indexed="9"/>
      </patternFill>
    </fill>
    <fill>
      <patternFill patternType="solid">
        <fgColor indexed="10"/>
        <bgColor indexed="60"/>
      </patternFill>
    </fill>
    <fill>
      <patternFill patternType="solid">
        <fgColor indexed="41"/>
        <bgColor indexed="2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58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9"/>
      </patternFill>
    </fill>
    <fill>
      <patternFill patternType="solid">
        <fgColor theme="8" tint="0.39997558519241921"/>
        <bgColor indexed="9"/>
      </patternFill>
    </fill>
    <fill>
      <patternFill patternType="solid">
        <fgColor theme="9" tint="0.59999389629810485"/>
        <bgColor indexed="9"/>
      </patternFill>
    </fill>
    <fill>
      <patternFill patternType="solid">
        <fgColor theme="8" tint="0.59999389629810485"/>
        <bgColor indexed="9"/>
      </patternFill>
    </fill>
    <fill>
      <patternFill patternType="solid">
        <fgColor rgb="FFFFFF00"/>
        <bgColor indexed="9"/>
      </patternFill>
    </fill>
    <fill>
      <patternFill patternType="solid">
        <fgColor theme="5" tint="0.39997558519241921"/>
        <bgColor indexed="9"/>
      </patternFill>
    </fill>
    <fill>
      <patternFill patternType="solid">
        <fgColor theme="9" tint="-0.249977111117893"/>
        <bgColor indexed="9"/>
      </patternFill>
    </fill>
    <fill>
      <patternFill patternType="solid">
        <fgColor rgb="FF92D050"/>
        <bgColor indexed="9"/>
      </patternFill>
    </fill>
    <fill>
      <patternFill patternType="solid">
        <fgColor rgb="FF00B0F0"/>
        <bgColor indexed="9"/>
      </patternFill>
    </fill>
    <fill>
      <patternFill patternType="solid">
        <fgColor theme="2" tint="-0.249977111117893"/>
        <bgColor indexed="9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8F698"/>
        <bgColor indexed="9"/>
      </patternFill>
    </fill>
    <fill>
      <patternFill patternType="solid">
        <fgColor rgb="FF98F698"/>
        <bgColor indexed="27"/>
      </patternFill>
    </fill>
    <fill>
      <patternFill patternType="solid">
        <fgColor rgb="FF98F698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1"/>
      </left>
      <right style="dotted">
        <color theme="1"/>
      </right>
      <top/>
      <bottom style="dotted">
        <color theme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ashed">
        <color auto="1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ashed">
        <color auto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thin">
        <color indexed="64"/>
      </left>
      <right/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thin">
        <color indexed="64"/>
      </left>
      <right style="dotted">
        <color theme="1"/>
      </right>
      <top/>
      <bottom style="dotted">
        <color theme="1"/>
      </bottom>
      <diagonal/>
    </border>
    <border>
      <left style="dotted">
        <color theme="1"/>
      </left>
      <right style="thin">
        <color indexed="64"/>
      </right>
      <top/>
      <bottom style="dotted">
        <color theme="1"/>
      </bottom>
      <diagonal/>
    </border>
    <border>
      <left style="thin">
        <color indexed="64"/>
      </left>
      <right style="dotted">
        <color theme="1"/>
      </right>
      <top style="dotted">
        <color theme="1"/>
      </top>
      <bottom style="thin">
        <color indexed="64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indexed="64"/>
      </bottom>
      <diagonal/>
    </border>
    <border>
      <left style="dotted">
        <color theme="1"/>
      </left>
      <right style="thin">
        <color indexed="64"/>
      </right>
      <top style="dotted">
        <color theme="1"/>
      </top>
      <bottom style="thin">
        <color indexed="64"/>
      </bottom>
      <diagonal/>
    </border>
    <border>
      <left style="dotted">
        <color theme="1"/>
      </left>
      <right/>
      <top/>
      <bottom style="dotted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dotted">
        <color theme="1"/>
      </right>
      <top style="thin">
        <color indexed="64"/>
      </top>
      <bottom style="thin">
        <color indexed="64"/>
      </bottom>
      <diagonal/>
    </border>
    <border>
      <left style="dotted">
        <color theme="1"/>
      </left>
      <right style="dotted">
        <color theme="1"/>
      </right>
      <top style="thin">
        <color indexed="64"/>
      </top>
      <bottom style="thin">
        <color indexed="64"/>
      </bottom>
      <diagonal/>
    </border>
    <border>
      <left style="dotted">
        <color theme="1"/>
      </left>
      <right/>
      <top style="thin">
        <color indexed="64"/>
      </top>
      <bottom style="thin">
        <color indexed="64"/>
      </bottom>
      <diagonal/>
    </border>
    <border>
      <left style="dotted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/>
      <top style="dotted">
        <color auto="1"/>
      </top>
      <bottom/>
      <diagonal/>
    </border>
    <border>
      <left/>
      <right style="thin">
        <color indexed="64"/>
      </right>
      <top style="dotted">
        <color auto="1"/>
      </top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4" fontId="0" fillId="0" borderId="0" xfId="2" applyFont="1"/>
    <xf numFmtId="0" fontId="0" fillId="0" borderId="0" xfId="0" applyAlignment="1">
      <alignment vertical="center"/>
    </xf>
    <xf numFmtId="44" fontId="0" fillId="0" borderId="0" xfId="2" applyFont="1" applyAlignment="1" applyProtection="1">
      <protection hidden="1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>
      <alignment horizontal="right"/>
    </xf>
    <xf numFmtId="0" fontId="2" fillId="0" borderId="0" xfId="0" applyFont="1" applyAlignment="1" applyProtection="1">
      <alignment wrapText="1"/>
      <protection hidden="1"/>
    </xf>
    <xf numFmtId="0" fontId="2" fillId="0" borderId="0" xfId="0" applyFont="1" applyAlignment="1" applyProtection="1">
      <alignment horizontal="right" wrapText="1"/>
      <protection hidden="1"/>
    </xf>
    <xf numFmtId="0" fontId="2" fillId="0" borderId="0" xfId="0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left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9" fillId="3" borderId="11" xfId="0" applyFont="1" applyFill="1" applyBorder="1" applyAlignment="1" applyProtection="1">
      <alignment horizontal="center" vertical="center"/>
      <protection hidden="1"/>
    </xf>
    <xf numFmtId="0" fontId="9" fillId="3" borderId="12" xfId="0" applyFont="1" applyFill="1" applyBorder="1" applyAlignment="1" applyProtection="1">
      <alignment vertical="center"/>
      <protection hidden="1"/>
    </xf>
    <xf numFmtId="0" fontId="9" fillId="3" borderId="12" xfId="0" applyFont="1" applyFill="1" applyBorder="1" applyAlignment="1" applyProtection="1">
      <alignment horizontal="center" vertical="center"/>
      <protection hidden="1"/>
    </xf>
    <xf numFmtId="44" fontId="9" fillId="3" borderId="13" xfId="2" applyFont="1" applyFill="1" applyBorder="1" applyAlignment="1" applyProtection="1">
      <alignment horizontal="center" vertical="center" wrapText="1"/>
      <protection hidden="1"/>
    </xf>
    <xf numFmtId="0" fontId="3" fillId="2" borderId="14" xfId="0" applyFont="1" applyFill="1" applyBorder="1" applyAlignment="1" applyProtection="1">
      <alignment horizontal="center" vertical="center"/>
      <protection hidden="1"/>
    </xf>
    <xf numFmtId="0" fontId="3" fillId="2" borderId="15" xfId="0" applyFont="1" applyFill="1" applyBorder="1" applyAlignment="1" applyProtection="1">
      <alignment vertical="center"/>
      <protection hidden="1"/>
    </xf>
    <xf numFmtId="0" fontId="3" fillId="2" borderId="15" xfId="0" applyFont="1" applyFill="1" applyBorder="1" applyAlignment="1" applyProtection="1">
      <alignment horizontal="center" vertical="center"/>
      <protection hidden="1"/>
    </xf>
    <xf numFmtId="44" fontId="3" fillId="2" borderId="16" xfId="2" applyFont="1" applyFill="1" applyBorder="1" applyAlignment="1" applyProtection="1">
      <alignment horizontal="right" vertical="center" wrapText="1"/>
      <protection hidden="1"/>
    </xf>
    <xf numFmtId="49" fontId="4" fillId="6" borderId="14" xfId="0" applyNumberFormat="1" applyFont="1" applyFill="1" applyBorder="1" applyAlignment="1" applyProtection="1">
      <alignment horizontal="center"/>
      <protection hidden="1"/>
    </xf>
    <xf numFmtId="49" fontId="4" fillId="6" borderId="17" xfId="0" applyNumberFormat="1" applyFont="1" applyFill="1" applyBorder="1" applyAlignment="1" applyProtection="1">
      <alignment horizontal="center"/>
      <protection hidden="1"/>
    </xf>
    <xf numFmtId="0" fontId="4" fillId="5" borderId="0" xfId="0" applyFont="1" applyFill="1" applyAlignment="1" applyProtection="1">
      <alignment horizontal="center"/>
      <protection hidden="1"/>
    </xf>
    <xf numFmtId="0" fontId="4" fillId="5" borderId="0" xfId="0" applyFont="1" applyFill="1" applyProtection="1">
      <protection hidden="1"/>
    </xf>
    <xf numFmtId="44" fontId="4" fillId="5" borderId="0" xfId="2" applyFont="1" applyFill="1" applyProtection="1">
      <protection hidden="1"/>
    </xf>
    <xf numFmtId="0" fontId="4" fillId="0" borderId="0" xfId="0" applyFont="1"/>
    <xf numFmtId="44" fontId="4" fillId="0" borderId="0" xfId="2" applyFont="1"/>
    <xf numFmtId="9" fontId="9" fillId="3" borderId="13" xfId="1" applyFont="1" applyFill="1" applyBorder="1" applyAlignment="1" applyProtection="1">
      <alignment horizontal="center" vertical="center" wrapText="1"/>
      <protection hidden="1"/>
    </xf>
    <xf numFmtId="9" fontId="3" fillId="2" borderId="16" xfId="1" applyFont="1" applyFill="1" applyBorder="1" applyAlignment="1" applyProtection="1">
      <alignment horizontal="right" vertical="center" wrapText="1"/>
      <protection hidden="1"/>
    </xf>
    <xf numFmtId="9" fontId="4" fillId="5" borderId="0" xfId="1" applyFont="1" applyFill="1" applyProtection="1">
      <protection hidden="1"/>
    </xf>
    <xf numFmtId="9" fontId="4" fillId="0" borderId="0" xfId="1" applyFont="1"/>
    <xf numFmtId="44" fontId="3" fillId="10" borderId="16" xfId="2" applyFont="1" applyFill="1" applyBorder="1" applyProtection="1">
      <protection locked="0"/>
    </xf>
    <xf numFmtId="0" fontId="0" fillId="9" borderId="0" xfId="0" applyFill="1"/>
    <xf numFmtId="0" fontId="1" fillId="11" borderId="15" xfId="0" applyFont="1" applyFill="1" applyBorder="1" applyProtection="1">
      <protection locked="0"/>
    </xf>
    <xf numFmtId="0" fontId="1" fillId="11" borderId="15" xfId="0" applyFont="1" applyFill="1" applyBorder="1" applyAlignment="1" applyProtection="1">
      <alignment horizontal="center"/>
      <protection locked="0"/>
    </xf>
    <xf numFmtId="44" fontId="1" fillId="11" borderId="16" xfId="2" applyFont="1" applyFill="1" applyBorder="1" applyProtection="1">
      <protection locked="0"/>
    </xf>
    <xf numFmtId="0" fontId="1" fillId="11" borderId="18" xfId="0" applyFont="1" applyFill="1" applyBorder="1" applyProtection="1">
      <protection locked="0"/>
    </xf>
    <xf numFmtId="0" fontId="1" fillId="11" borderId="18" xfId="0" applyFont="1" applyFill="1" applyBorder="1" applyAlignment="1" applyProtection="1">
      <alignment horizontal="center"/>
      <protection locked="0"/>
    </xf>
    <xf numFmtId="44" fontId="1" fillId="11" borderId="19" xfId="2" applyFont="1" applyFill="1" applyBorder="1" applyProtection="1">
      <protection locked="0"/>
    </xf>
    <xf numFmtId="9" fontId="1" fillId="11" borderId="16" xfId="1" applyFont="1" applyFill="1" applyBorder="1" applyProtection="1">
      <protection locked="0"/>
    </xf>
    <xf numFmtId="9" fontId="1" fillId="11" borderId="19" xfId="1" applyFont="1" applyFill="1" applyBorder="1" applyProtection="1">
      <protection locked="0"/>
    </xf>
    <xf numFmtId="0" fontId="3" fillId="6" borderId="25" xfId="0" applyFont="1" applyFill="1" applyBorder="1" applyAlignment="1" applyProtection="1">
      <alignment vertical="center"/>
      <protection hidden="1"/>
    </xf>
    <xf numFmtId="0" fontId="2" fillId="6" borderId="21" xfId="0" applyFont="1" applyFill="1" applyBorder="1" applyAlignment="1" applyProtection="1">
      <alignment horizontal="left"/>
      <protection hidden="1"/>
    </xf>
    <xf numFmtId="0" fontId="2" fillId="6" borderId="21" xfId="0" applyFont="1" applyFill="1" applyBorder="1" applyAlignment="1" applyProtection="1">
      <alignment horizontal="right"/>
      <protection hidden="1"/>
    </xf>
    <xf numFmtId="0" fontId="2" fillId="6" borderId="21" xfId="0" applyFont="1" applyFill="1" applyBorder="1" applyAlignment="1" applyProtection="1">
      <alignment horizont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1" fontId="2" fillId="6" borderId="2" xfId="0" applyNumberFormat="1" applyFont="1" applyFill="1" applyBorder="1" applyAlignment="1" applyProtection="1">
      <alignment horizontal="center" vertical="center"/>
      <protection hidden="1"/>
    </xf>
    <xf numFmtId="0" fontId="10" fillId="0" borderId="2" xfId="0" applyFont="1" applyBorder="1" applyAlignment="1" applyProtection="1">
      <alignment horizontal="left" vertical="center"/>
      <protection hidden="1"/>
    </xf>
    <xf numFmtId="2" fontId="7" fillId="4" borderId="2" xfId="0" applyNumberFormat="1" applyFont="1" applyFill="1" applyBorder="1" applyAlignment="1" applyProtection="1">
      <alignment horizontal="center" vertical="center"/>
      <protection locked="0"/>
    </xf>
    <xf numFmtId="2" fontId="7" fillId="0" borderId="2" xfId="0" applyNumberFormat="1" applyFont="1" applyBorder="1" applyAlignment="1" applyProtection="1">
      <alignment horizontal="center" vertical="center"/>
      <protection hidden="1"/>
    </xf>
    <xf numFmtId="1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hidden="1"/>
    </xf>
    <xf numFmtId="44" fontId="7" fillId="4" borderId="2" xfId="2" applyFont="1" applyFill="1" applyBorder="1" applyAlignment="1" applyProtection="1">
      <alignment horizontal="center" vertical="center"/>
      <protection locked="0"/>
    </xf>
    <xf numFmtId="44" fontId="8" fillId="13" borderId="2" xfId="2" applyFont="1" applyFill="1" applyBorder="1" applyProtection="1">
      <protection locked="0"/>
    </xf>
    <xf numFmtId="44" fontId="8" fillId="10" borderId="2" xfId="2" applyFont="1" applyFill="1" applyBorder="1" applyProtection="1">
      <protection locked="0"/>
    </xf>
    <xf numFmtId="10" fontId="8" fillId="13" borderId="2" xfId="1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8" fillId="12" borderId="2" xfId="0" applyFont="1" applyFill="1" applyBorder="1" applyProtection="1">
      <protection locked="0"/>
    </xf>
    <xf numFmtId="0" fontId="2" fillId="6" borderId="25" xfId="0" applyFont="1" applyFill="1" applyBorder="1" applyAlignment="1" applyProtection="1">
      <alignment horizontal="center" vertical="center"/>
      <protection hidden="1"/>
    </xf>
    <xf numFmtId="0" fontId="2" fillId="6" borderId="21" xfId="0" applyFont="1" applyFill="1" applyBorder="1" applyAlignment="1" applyProtection="1">
      <alignment horizontal="center" vertical="center"/>
      <protection hidden="1"/>
    </xf>
    <xf numFmtId="0" fontId="2" fillId="6" borderId="26" xfId="0" applyFont="1" applyFill="1" applyBorder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center" vertical="center"/>
      <protection hidden="1"/>
    </xf>
    <xf numFmtId="2" fontId="7" fillId="0" borderId="26" xfId="0" applyNumberFormat="1" applyFont="1" applyBorder="1" applyAlignment="1" applyProtection="1">
      <alignment horizontal="center" vertical="center"/>
      <protection hidden="1"/>
    </xf>
    <xf numFmtId="2" fontId="7" fillId="4" borderId="25" xfId="0" applyNumberFormat="1" applyFont="1" applyFill="1" applyBorder="1" applyAlignment="1" applyProtection="1">
      <alignment horizontal="center" vertical="center"/>
      <protection locked="0"/>
    </xf>
    <xf numFmtId="2" fontId="7" fillId="4" borderId="21" xfId="0" applyNumberFormat="1" applyFont="1" applyFill="1" applyBorder="1" applyAlignment="1" applyProtection="1">
      <alignment horizontal="center" vertical="center"/>
      <protection locked="0"/>
    </xf>
    <xf numFmtId="2" fontId="7" fillId="4" borderId="26" xfId="0" applyNumberFormat="1" applyFont="1" applyFill="1" applyBorder="1" applyAlignment="1" applyProtection="1">
      <alignment horizontal="center" vertical="center"/>
      <protection locked="0"/>
    </xf>
    <xf numFmtId="1" fontId="2" fillId="6" borderId="26" xfId="0" applyNumberFormat="1" applyFont="1" applyFill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center"/>
    </xf>
    <xf numFmtId="0" fontId="2" fillId="0" borderId="30" xfId="0" applyFont="1" applyBorder="1" applyAlignment="1" applyProtection="1">
      <alignment wrapText="1"/>
      <protection hidden="1"/>
    </xf>
    <xf numFmtId="2" fontId="7" fillId="14" borderId="2" xfId="0" applyNumberFormat="1" applyFont="1" applyFill="1" applyBorder="1" applyAlignment="1" applyProtection="1">
      <alignment horizontal="center" vertical="center"/>
      <protection locked="0"/>
    </xf>
    <xf numFmtId="2" fontId="7" fillId="15" borderId="2" xfId="0" applyNumberFormat="1" applyFont="1" applyFill="1" applyBorder="1" applyAlignment="1" applyProtection="1">
      <alignment horizontal="center" vertical="center"/>
      <protection locked="0"/>
    </xf>
    <xf numFmtId="2" fontId="7" fillId="16" borderId="2" xfId="0" applyNumberFormat="1" applyFont="1" applyFill="1" applyBorder="1" applyAlignment="1" applyProtection="1">
      <alignment horizontal="center" vertical="center"/>
      <protection locked="0"/>
    </xf>
    <xf numFmtId="1" fontId="7" fillId="15" borderId="2" xfId="0" applyNumberFormat="1" applyFont="1" applyFill="1" applyBorder="1" applyAlignment="1" applyProtection="1">
      <alignment horizontal="center" vertical="center"/>
      <protection locked="0"/>
    </xf>
    <xf numFmtId="2" fontId="7" fillId="15" borderId="25" xfId="0" applyNumberFormat="1" applyFont="1" applyFill="1" applyBorder="1" applyAlignment="1" applyProtection="1">
      <alignment horizontal="center" vertical="center"/>
      <protection locked="0"/>
    </xf>
    <xf numFmtId="2" fontId="7" fillId="15" borderId="21" xfId="0" applyNumberFormat="1" applyFont="1" applyFill="1" applyBorder="1" applyAlignment="1" applyProtection="1">
      <alignment horizontal="center" vertical="center"/>
      <protection locked="0"/>
    </xf>
    <xf numFmtId="2" fontId="7" fillId="15" borderId="26" xfId="0" applyNumberFormat="1" applyFont="1" applyFill="1" applyBorder="1" applyAlignment="1" applyProtection="1">
      <alignment horizontal="center" vertical="center"/>
      <protection locked="0"/>
    </xf>
    <xf numFmtId="44" fontId="7" fillId="15" borderId="2" xfId="2" applyFont="1" applyFill="1" applyBorder="1" applyAlignment="1" applyProtection="1">
      <alignment horizontal="center" vertical="center"/>
      <protection locked="0"/>
    </xf>
    <xf numFmtId="2" fontId="7" fillId="17" borderId="2" xfId="0" applyNumberFormat="1" applyFont="1" applyFill="1" applyBorder="1" applyAlignment="1" applyProtection="1">
      <alignment horizontal="center" vertical="center"/>
      <protection locked="0"/>
    </xf>
    <xf numFmtId="2" fontId="7" fillId="18" borderId="2" xfId="0" applyNumberFormat="1" applyFont="1" applyFill="1" applyBorder="1" applyAlignment="1" applyProtection="1">
      <alignment horizontal="center" vertical="center"/>
      <protection locked="0"/>
    </xf>
    <xf numFmtId="2" fontId="7" fillId="19" borderId="2" xfId="0" applyNumberFormat="1" applyFont="1" applyFill="1" applyBorder="1" applyAlignment="1" applyProtection="1">
      <alignment horizontal="center" vertical="center"/>
      <protection locked="0"/>
    </xf>
    <xf numFmtId="1" fontId="7" fillId="16" borderId="2" xfId="0" applyNumberFormat="1" applyFont="1" applyFill="1" applyBorder="1" applyAlignment="1" applyProtection="1">
      <alignment horizontal="center" vertical="center"/>
      <protection locked="0"/>
    </xf>
    <xf numFmtId="2" fontId="7" fillId="16" borderId="25" xfId="0" applyNumberFormat="1" applyFont="1" applyFill="1" applyBorder="1" applyAlignment="1" applyProtection="1">
      <alignment horizontal="center" vertical="center"/>
      <protection locked="0"/>
    </xf>
    <xf numFmtId="2" fontId="7" fillId="16" borderId="21" xfId="0" applyNumberFormat="1" applyFont="1" applyFill="1" applyBorder="1" applyAlignment="1" applyProtection="1">
      <alignment horizontal="center" vertical="center"/>
      <protection locked="0"/>
    </xf>
    <xf numFmtId="2" fontId="7" fillId="16" borderId="26" xfId="0" applyNumberFormat="1" applyFont="1" applyFill="1" applyBorder="1" applyAlignment="1" applyProtection="1">
      <alignment horizontal="center" vertical="center"/>
      <protection locked="0"/>
    </xf>
    <xf numFmtId="44" fontId="7" fillId="16" borderId="2" xfId="2" applyFont="1" applyFill="1" applyBorder="1" applyAlignment="1" applyProtection="1">
      <alignment horizontal="center" vertical="center"/>
      <protection locked="0"/>
    </xf>
    <xf numFmtId="1" fontId="7" fillId="19" borderId="2" xfId="0" applyNumberFormat="1" applyFont="1" applyFill="1" applyBorder="1" applyAlignment="1" applyProtection="1">
      <alignment horizontal="center" vertical="center"/>
      <protection locked="0"/>
    </xf>
    <xf numFmtId="2" fontId="7" fillId="19" borderId="25" xfId="0" applyNumberFormat="1" applyFont="1" applyFill="1" applyBorder="1" applyAlignment="1" applyProtection="1">
      <alignment horizontal="center" vertical="center"/>
      <protection locked="0"/>
    </xf>
    <xf numFmtId="2" fontId="7" fillId="19" borderId="21" xfId="0" applyNumberFormat="1" applyFont="1" applyFill="1" applyBorder="1" applyAlignment="1" applyProtection="1">
      <alignment horizontal="center" vertical="center"/>
      <protection locked="0"/>
    </xf>
    <xf numFmtId="2" fontId="7" fillId="19" borderId="26" xfId="0" applyNumberFormat="1" applyFont="1" applyFill="1" applyBorder="1" applyAlignment="1" applyProtection="1">
      <alignment horizontal="center" vertical="center"/>
      <protection locked="0"/>
    </xf>
    <xf numFmtId="44" fontId="7" fillId="19" borderId="2" xfId="2" applyFont="1" applyFill="1" applyBorder="1" applyAlignment="1" applyProtection="1">
      <alignment horizontal="center" vertical="center"/>
      <protection locked="0"/>
    </xf>
    <xf numFmtId="1" fontId="7" fillId="18" borderId="2" xfId="0" applyNumberFormat="1" applyFont="1" applyFill="1" applyBorder="1" applyAlignment="1" applyProtection="1">
      <alignment horizontal="center" vertical="center"/>
      <protection locked="0"/>
    </xf>
    <xf numFmtId="2" fontId="7" fillId="18" borderId="25" xfId="0" applyNumberFormat="1" applyFont="1" applyFill="1" applyBorder="1" applyAlignment="1" applyProtection="1">
      <alignment horizontal="center" vertical="center"/>
      <protection locked="0"/>
    </xf>
    <xf numFmtId="2" fontId="7" fillId="18" borderId="21" xfId="0" applyNumberFormat="1" applyFont="1" applyFill="1" applyBorder="1" applyAlignment="1" applyProtection="1">
      <alignment horizontal="center" vertical="center"/>
      <protection locked="0"/>
    </xf>
    <xf numFmtId="2" fontId="7" fillId="18" borderId="26" xfId="0" applyNumberFormat="1" applyFont="1" applyFill="1" applyBorder="1" applyAlignment="1" applyProtection="1">
      <alignment horizontal="center" vertical="center"/>
      <protection locked="0"/>
    </xf>
    <xf numFmtId="44" fontId="7" fillId="18" borderId="2" xfId="2" applyFont="1" applyFill="1" applyBorder="1" applyAlignment="1" applyProtection="1">
      <alignment horizontal="center" vertical="center"/>
      <protection locked="0"/>
    </xf>
    <xf numFmtId="1" fontId="7" fillId="17" borderId="2" xfId="0" applyNumberFormat="1" applyFont="1" applyFill="1" applyBorder="1" applyAlignment="1" applyProtection="1">
      <alignment horizontal="center" vertical="center"/>
      <protection locked="0"/>
    </xf>
    <xf numFmtId="2" fontId="7" fillId="17" borderId="25" xfId="0" applyNumberFormat="1" applyFont="1" applyFill="1" applyBorder="1" applyAlignment="1" applyProtection="1">
      <alignment horizontal="center" vertical="center"/>
      <protection locked="0"/>
    </xf>
    <xf numFmtId="2" fontId="7" fillId="17" borderId="21" xfId="0" applyNumberFormat="1" applyFont="1" applyFill="1" applyBorder="1" applyAlignment="1" applyProtection="1">
      <alignment horizontal="center" vertical="center"/>
      <protection locked="0"/>
    </xf>
    <xf numFmtId="2" fontId="7" fillId="17" borderId="26" xfId="0" applyNumberFormat="1" applyFont="1" applyFill="1" applyBorder="1" applyAlignment="1" applyProtection="1">
      <alignment horizontal="center" vertical="center"/>
      <protection locked="0"/>
    </xf>
    <xf numFmtId="44" fontId="7" fillId="17" borderId="2" xfId="2" applyFont="1" applyFill="1" applyBorder="1" applyAlignment="1" applyProtection="1">
      <alignment horizontal="center" vertical="center"/>
      <protection locked="0"/>
    </xf>
    <xf numFmtId="44" fontId="7" fillId="14" borderId="2" xfId="2" applyFont="1" applyFill="1" applyBorder="1" applyAlignment="1" applyProtection="1">
      <alignment horizontal="center" vertical="center"/>
      <protection locked="0"/>
    </xf>
    <xf numFmtId="2" fontId="7" fillId="14" borderId="25" xfId="0" applyNumberFormat="1" applyFont="1" applyFill="1" applyBorder="1" applyAlignment="1" applyProtection="1">
      <alignment horizontal="center" vertical="center"/>
      <protection locked="0"/>
    </xf>
    <xf numFmtId="2" fontId="7" fillId="14" borderId="21" xfId="0" applyNumberFormat="1" applyFont="1" applyFill="1" applyBorder="1" applyAlignment="1" applyProtection="1">
      <alignment horizontal="center" vertical="center"/>
      <protection locked="0"/>
    </xf>
    <xf numFmtId="2" fontId="7" fillId="14" borderId="26" xfId="0" applyNumberFormat="1" applyFont="1" applyFill="1" applyBorder="1" applyAlignment="1" applyProtection="1">
      <alignment horizontal="center" vertical="center"/>
      <protection locked="0"/>
    </xf>
    <xf numFmtId="1" fontId="7" fillId="14" borderId="2" xfId="0" applyNumberFormat="1" applyFont="1" applyFill="1" applyBorder="1" applyAlignment="1" applyProtection="1">
      <alignment horizontal="center" vertical="center"/>
      <protection locked="0"/>
    </xf>
    <xf numFmtId="44" fontId="1" fillId="6" borderId="2" xfId="2" applyFont="1" applyFill="1" applyBorder="1" applyAlignment="1" applyProtection="1">
      <alignment vertical="center"/>
      <protection hidden="1"/>
    </xf>
    <xf numFmtId="14" fontId="1" fillId="0" borderId="31" xfId="2" applyNumberFormat="1" applyFont="1" applyBorder="1" applyAlignment="1" applyProtection="1">
      <alignment wrapText="1"/>
      <protection hidden="1"/>
    </xf>
    <xf numFmtId="1" fontId="7" fillId="4" borderId="41" xfId="0" applyNumberFormat="1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horizontal="left" vertical="center"/>
      <protection hidden="1"/>
    </xf>
    <xf numFmtId="2" fontId="10" fillId="0" borderId="41" xfId="0" applyNumberFormat="1" applyFont="1" applyBorder="1" applyAlignment="1" applyProtection="1">
      <alignment horizontal="center" vertical="center"/>
      <protection hidden="1"/>
    </xf>
    <xf numFmtId="2" fontId="7" fillId="4" borderId="41" xfId="0" applyNumberFormat="1" applyFont="1" applyFill="1" applyBorder="1" applyAlignment="1" applyProtection="1">
      <alignment horizontal="center" vertical="center"/>
      <protection locked="0"/>
    </xf>
    <xf numFmtId="164" fontId="10" fillId="0" borderId="41" xfId="0" applyNumberFormat="1" applyFont="1" applyBorder="1" applyAlignment="1" applyProtection="1">
      <alignment horizontal="center" vertical="center"/>
      <protection hidden="1"/>
    </xf>
    <xf numFmtId="44" fontId="10" fillId="0" borderId="41" xfId="2" applyFont="1" applyFill="1" applyBorder="1" applyAlignment="1" applyProtection="1">
      <alignment horizontal="center" vertical="center"/>
      <protection hidden="1"/>
    </xf>
    <xf numFmtId="44" fontId="7" fillId="4" borderId="41" xfId="2" applyFont="1" applyFill="1" applyBorder="1" applyAlignment="1" applyProtection="1">
      <alignment horizontal="center" vertical="center"/>
      <protection locked="0"/>
    </xf>
    <xf numFmtId="44" fontId="13" fillId="6" borderId="2" xfId="2" applyFont="1" applyFill="1" applyBorder="1" applyAlignment="1" applyProtection="1">
      <alignment vertical="center"/>
      <protection hidden="1"/>
    </xf>
    <xf numFmtId="0" fontId="0" fillId="20" borderId="0" xfId="0" applyFill="1"/>
    <xf numFmtId="0" fontId="0" fillId="20" borderId="0" xfId="0" applyFill="1" applyAlignment="1">
      <alignment horizontal="center"/>
    </xf>
    <xf numFmtId="0" fontId="11" fillId="20" borderId="0" xfId="0" applyFont="1" applyFill="1" applyAlignment="1">
      <alignment vertical="center"/>
    </xf>
    <xf numFmtId="0" fontId="7" fillId="20" borderId="0" xfId="0" applyFont="1" applyFill="1"/>
    <xf numFmtId="1" fontId="7" fillId="4" borderId="42" xfId="0" applyNumberFormat="1" applyFont="1" applyFill="1" applyBorder="1" applyAlignment="1" applyProtection="1">
      <alignment horizontal="center" vertical="center"/>
      <protection locked="0"/>
    </xf>
    <xf numFmtId="0" fontId="10" fillId="0" borderId="42" xfId="0" applyFont="1" applyBorder="1" applyAlignment="1" applyProtection="1">
      <alignment horizontal="left" vertical="center"/>
      <protection hidden="1"/>
    </xf>
    <xf numFmtId="2" fontId="10" fillId="0" borderId="42" xfId="0" applyNumberFormat="1" applyFont="1" applyBorder="1" applyAlignment="1" applyProtection="1">
      <alignment horizontal="center" vertical="center"/>
      <protection hidden="1"/>
    </xf>
    <xf numFmtId="2" fontId="7" fillId="4" borderId="42" xfId="0" applyNumberFormat="1" applyFont="1" applyFill="1" applyBorder="1" applyAlignment="1" applyProtection="1">
      <alignment horizontal="center" vertical="center"/>
      <protection locked="0"/>
    </xf>
    <xf numFmtId="164" fontId="10" fillId="0" borderId="42" xfId="0" applyNumberFormat="1" applyFont="1" applyBorder="1" applyAlignment="1" applyProtection="1">
      <alignment horizontal="center" vertical="center"/>
      <protection hidden="1"/>
    </xf>
    <xf numFmtId="44" fontId="10" fillId="0" borderId="42" xfId="2" applyFont="1" applyFill="1" applyBorder="1" applyAlignment="1" applyProtection="1">
      <alignment horizontal="center" vertical="center"/>
      <protection hidden="1"/>
    </xf>
    <xf numFmtId="44" fontId="7" fillId="4" borderId="42" xfId="2" applyFont="1" applyFill="1" applyBorder="1" applyAlignment="1" applyProtection="1">
      <alignment horizontal="center" vertical="center"/>
      <protection locked="0"/>
    </xf>
    <xf numFmtId="44" fontId="3" fillId="6" borderId="43" xfId="2" applyFont="1" applyFill="1" applyBorder="1" applyAlignment="1" applyProtection="1">
      <alignment horizontal="center" vertical="center"/>
      <protection hidden="1"/>
    </xf>
    <xf numFmtId="44" fontId="3" fillId="6" borderId="44" xfId="2" applyFont="1" applyFill="1" applyBorder="1" applyAlignment="1" applyProtection="1">
      <alignment horizontal="center" vertical="center"/>
      <protection hidden="1"/>
    </xf>
    <xf numFmtId="44" fontId="3" fillId="6" borderId="45" xfId="2" applyFont="1" applyFill="1" applyBorder="1" applyAlignment="1" applyProtection="1">
      <alignment horizontal="center" vertical="center"/>
      <protection hidden="1"/>
    </xf>
    <xf numFmtId="44" fontId="3" fillId="6" borderId="46" xfId="2" applyFont="1" applyFill="1" applyBorder="1" applyAlignment="1" applyProtection="1">
      <alignment horizontal="center" vertical="center"/>
      <protection hidden="1"/>
    </xf>
    <xf numFmtId="44" fontId="3" fillId="6" borderId="2" xfId="2" applyFont="1" applyFill="1" applyBorder="1" applyAlignment="1" applyProtection="1">
      <alignment horizontal="center" vertical="center"/>
      <protection hidden="1"/>
    </xf>
    <xf numFmtId="44" fontId="4" fillId="9" borderId="0" xfId="2" applyFont="1" applyFill="1"/>
    <xf numFmtId="0" fontId="7" fillId="0" borderId="0" xfId="0" applyFont="1" applyAlignment="1">
      <alignment horizontal="left" vertical="center"/>
    </xf>
    <xf numFmtId="0" fontId="14" fillId="9" borderId="25" xfId="0" applyFont="1" applyFill="1" applyBorder="1" applyAlignment="1">
      <alignment vertical="center"/>
    </xf>
    <xf numFmtId="0" fontId="14" fillId="9" borderId="21" xfId="0" applyFont="1" applyFill="1" applyBorder="1" applyAlignment="1">
      <alignment vertical="center"/>
    </xf>
    <xf numFmtId="0" fontId="14" fillId="9" borderId="26" xfId="0" applyFont="1" applyFill="1" applyBorder="1" applyAlignment="1">
      <alignment vertical="center"/>
    </xf>
    <xf numFmtId="44" fontId="8" fillId="6" borderId="2" xfId="2" applyFont="1" applyFill="1" applyBorder="1" applyAlignment="1" applyProtection="1">
      <alignment horizontal="center" vertical="center"/>
      <protection hidden="1"/>
    </xf>
    <xf numFmtId="44" fontId="4" fillId="0" borderId="0" xfId="2" applyFont="1" applyAlignment="1">
      <alignment horizontal="left" vertical="center"/>
    </xf>
    <xf numFmtId="43" fontId="4" fillId="0" borderId="2" xfId="3" applyFont="1" applyBorder="1" applyAlignment="1">
      <alignment vertical="center"/>
    </xf>
    <xf numFmtId="44" fontId="1" fillId="0" borderId="2" xfId="2" applyFont="1" applyBorder="1"/>
    <xf numFmtId="44" fontId="13" fillId="21" borderId="2" xfId="2" applyFont="1" applyFill="1" applyBorder="1"/>
    <xf numFmtId="0" fontId="15" fillId="0" borderId="2" xfId="0" applyFont="1" applyBorder="1"/>
    <xf numFmtId="44" fontId="7" fillId="0" borderId="0" xfId="2" applyFont="1" applyFill="1" applyBorder="1" applyAlignment="1" applyProtection="1">
      <alignment vertical="center"/>
      <protection hidden="1"/>
    </xf>
    <xf numFmtId="43" fontId="4" fillId="0" borderId="2" xfId="3" quotePrefix="1" applyFont="1" applyBorder="1" applyAlignment="1">
      <alignment vertical="center"/>
    </xf>
    <xf numFmtId="2" fontId="7" fillId="22" borderId="2" xfId="0" applyNumberFormat="1" applyFont="1" applyFill="1" applyBorder="1" applyAlignment="1" applyProtection="1">
      <alignment horizontal="center" vertical="center"/>
      <protection locked="0"/>
    </xf>
    <xf numFmtId="0" fontId="7" fillId="23" borderId="2" xfId="0" applyFont="1" applyFill="1" applyBorder="1" applyAlignment="1" applyProtection="1">
      <alignment horizontal="center" vertical="center"/>
      <protection hidden="1"/>
    </xf>
    <xf numFmtId="0" fontId="3" fillId="0" borderId="30" xfId="0" applyFont="1" applyBorder="1" applyAlignment="1" applyProtection="1">
      <alignment horizontal="left"/>
      <protection hidden="1"/>
    </xf>
    <xf numFmtId="0" fontId="3" fillId="0" borderId="30" xfId="0" applyFont="1" applyBorder="1" applyAlignment="1" applyProtection="1">
      <alignment wrapText="1"/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28" xfId="0" applyBorder="1"/>
    <xf numFmtId="0" fontId="0" fillId="0" borderId="20" xfId="0" applyBorder="1"/>
    <xf numFmtId="0" fontId="2" fillId="7" borderId="29" xfId="0" applyFont="1" applyFill="1" applyBorder="1"/>
    <xf numFmtId="0" fontId="2" fillId="7" borderId="20" xfId="0" applyFont="1" applyFill="1" applyBorder="1"/>
    <xf numFmtId="0" fontId="2" fillId="7" borderId="24" xfId="0" applyFont="1" applyFill="1" applyBorder="1"/>
    <xf numFmtId="0" fontId="0" fillId="0" borderId="30" xfId="0" applyBorder="1"/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1" fontId="2" fillId="0" borderId="0" xfId="0" applyNumberFormat="1" applyFont="1" applyAlignment="1" applyProtection="1">
      <alignment horizontal="center" wrapText="1"/>
      <protection hidden="1"/>
    </xf>
    <xf numFmtId="44" fontId="3" fillId="6" borderId="35" xfId="2" applyFont="1" applyFill="1" applyBorder="1" applyAlignment="1" applyProtection="1">
      <alignment horizontal="center"/>
      <protection hidden="1"/>
    </xf>
    <xf numFmtId="44" fontId="3" fillId="6" borderId="3" xfId="2" applyFont="1" applyFill="1" applyBorder="1" applyAlignment="1" applyProtection="1">
      <alignment horizontal="center"/>
      <protection hidden="1"/>
    </xf>
    <xf numFmtId="44" fontId="3" fillId="6" borderId="36" xfId="2" applyFont="1" applyFill="1" applyBorder="1" applyAlignment="1" applyProtection="1">
      <alignment horizontal="center"/>
      <protection hidden="1"/>
    </xf>
    <xf numFmtId="1" fontId="7" fillId="22" borderId="35" xfId="0" applyNumberFormat="1" applyFont="1" applyFill="1" applyBorder="1" applyAlignment="1" applyProtection="1">
      <alignment horizontal="center"/>
      <protection locked="0"/>
    </xf>
    <xf numFmtId="0" fontId="10" fillId="7" borderId="40" xfId="0" applyFont="1" applyFill="1" applyBorder="1" applyAlignment="1" applyProtection="1">
      <alignment horizontal="left"/>
      <protection hidden="1"/>
    </xf>
    <xf numFmtId="2" fontId="7" fillId="22" borderId="22" xfId="0" applyNumberFormat="1" applyFont="1" applyFill="1" applyBorder="1" applyAlignment="1" applyProtection="1">
      <alignment horizontal="center"/>
      <protection locked="0"/>
    </xf>
    <xf numFmtId="0" fontId="10" fillId="7" borderId="40" xfId="0" applyFont="1" applyFill="1" applyBorder="1" applyAlignment="1" applyProtection="1">
      <alignment horizontal="center"/>
      <protection hidden="1"/>
    </xf>
    <xf numFmtId="2" fontId="7" fillId="0" borderId="3" xfId="2" applyNumberFormat="1" applyFont="1" applyFill="1" applyBorder="1" applyAlignment="1" applyProtection="1">
      <alignment horizontal="center"/>
      <protection hidden="1"/>
    </xf>
    <xf numFmtId="164" fontId="7" fillId="7" borderId="3" xfId="0" applyNumberFormat="1" applyFont="1" applyFill="1" applyBorder="1" applyAlignment="1" applyProtection="1">
      <alignment horizontal="center"/>
      <protection hidden="1"/>
    </xf>
    <xf numFmtId="44" fontId="7" fillId="7" borderId="36" xfId="2" applyFont="1" applyFill="1" applyBorder="1" applyAlignment="1" applyProtection="1">
      <alignment horizontal="center"/>
      <protection hidden="1"/>
    </xf>
    <xf numFmtId="44" fontId="7" fillId="0" borderId="27" xfId="2" applyFont="1" applyFill="1" applyBorder="1" applyAlignment="1" applyProtection="1">
      <protection hidden="1"/>
    </xf>
    <xf numFmtId="44" fontId="7" fillId="0" borderId="0" xfId="2" applyFont="1" applyFill="1" applyBorder="1" applyAlignment="1" applyProtection="1">
      <protection hidden="1"/>
    </xf>
    <xf numFmtId="165" fontId="2" fillId="6" borderId="21" xfId="0" applyNumberFormat="1" applyFont="1" applyFill="1" applyBorder="1" applyAlignment="1" applyProtection="1">
      <alignment horizontal="center"/>
      <protection hidden="1"/>
    </xf>
    <xf numFmtId="44" fontId="1" fillId="6" borderId="2" xfId="2" applyFont="1" applyFill="1" applyBorder="1" applyAlignment="1" applyProtection="1">
      <protection hidden="1"/>
    </xf>
    <xf numFmtId="165" fontId="2" fillId="6" borderId="47" xfId="0" applyNumberFormat="1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/>
      <protection hidden="1"/>
    </xf>
    <xf numFmtId="44" fontId="4" fillId="0" borderId="0" xfId="2" applyFont="1" applyAlignment="1"/>
    <xf numFmtId="0" fontId="0" fillId="0" borderId="47" xfId="0" applyBorder="1"/>
    <xf numFmtId="0" fontId="3" fillId="0" borderId="52" xfId="0" applyFont="1" applyBorder="1" applyAlignment="1" applyProtection="1">
      <alignment horizontal="center"/>
      <protection hidden="1"/>
    </xf>
    <xf numFmtId="0" fontId="3" fillId="0" borderId="53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31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locked="0"/>
    </xf>
    <xf numFmtId="0" fontId="4" fillId="0" borderId="31" xfId="0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1" fillId="0" borderId="31" xfId="0" applyFont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31" xfId="0" applyFont="1" applyFill="1" applyBorder="1" applyAlignment="1">
      <alignment horizontal="center"/>
    </xf>
    <xf numFmtId="0" fontId="2" fillId="7" borderId="22" xfId="0" applyFont="1" applyFill="1" applyBorder="1" applyAlignment="1">
      <alignment horizontal="center"/>
    </xf>
    <xf numFmtId="0" fontId="2" fillId="7" borderId="23" xfId="0" applyFont="1" applyFill="1" applyBorder="1" applyAlignment="1">
      <alignment horizontal="center"/>
    </xf>
    <xf numFmtId="0" fontId="2" fillId="7" borderId="32" xfId="0" applyFont="1" applyFill="1" applyBorder="1" applyAlignment="1">
      <alignment horizontal="center"/>
    </xf>
    <xf numFmtId="0" fontId="3" fillId="0" borderId="33" xfId="0" applyFont="1" applyBorder="1" applyAlignment="1" applyProtection="1">
      <alignment horizontal="center"/>
      <protection hidden="1"/>
    </xf>
    <xf numFmtId="0" fontId="3" fillId="0" borderId="5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center"/>
      <protection hidden="1"/>
    </xf>
    <xf numFmtId="0" fontId="3" fillId="0" borderId="34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left"/>
      <protection hidden="1"/>
    </xf>
    <xf numFmtId="0" fontId="5" fillId="22" borderId="7" xfId="0" applyFont="1" applyFill="1" applyBorder="1" applyAlignment="1" applyProtection="1">
      <alignment horizontal="right" wrapText="1"/>
      <protection locked="0"/>
    </xf>
    <xf numFmtId="0" fontId="5" fillId="22" borderId="8" xfId="0" applyFont="1" applyFill="1" applyBorder="1" applyAlignment="1" applyProtection="1">
      <alignment horizontal="right" wrapText="1"/>
      <protection locked="0"/>
    </xf>
    <xf numFmtId="0" fontId="5" fillId="22" borderId="9" xfId="0" applyFont="1" applyFill="1" applyBorder="1" applyAlignment="1" applyProtection="1">
      <alignment horizontal="right" wrapText="1"/>
      <protection locked="0"/>
    </xf>
    <xf numFmtId="0" fontId="5" fillId="22" borderId="10" xfId="0" applyFont="1" applyFill="1" applyBorder="1" applyAlignment="1" applyProtection="1">
      <alignment horizontal="right" wrapText="1"/>
      <protection locked="0"/>
    </xf>
    <xf numFmtId="0" fontId="17" fillId="0" borderId="25" xfId="0" applyFont="1" applyBorder="1" applyAlignment="1" applyProtection="1">
      <alignment horizontal="center"/>
      <protection hidden="1"/>
    </xf>
    <xf numFmtId="0" fontId="17" fillId="0" borderId="21" xfId="0" applyFont="1" applyBorder="1" applyAlignment="1" applyProtection="1">
      <alignment horizontal="center"/>
      <protection hidden="1"/>
    </xf>
    <xf numFmtId="0" fontId="17" fillId="0" borderId="26" xfId="0" applyFont="1" applyBorder="1" applyAlignment="1" applyProtection="1">
      <alignment horizontal="center"/>
      <protection hidden="1"/>
    </xf>
    <xf numFmtId="0" fontId="8" fillId="8" borderId="37" xfId="0" applyFont="1" applyFill="1" applyBorder="1" applyAlignment="1" applyProtection="1">
      <alignment horizontal="center"/>
      <protection hidden="1"/>
    </xf>
    <xf numFmtId="0" fontId="8" fillId="8" borderId="38" xfId="0" applyFont="1" applyFill="1" applyBorder="1" applyAlignment="1" applyProtection="1">
      <alignment horizontal="center"/>
      <protection hidden="1"/>
    </xf>
    <xf numFmtId="0" fontId="8" fillId="8" borderId="39" xfId="0" applyFont="1" applyFill="1" applyBorder="1" applyAlignment="1" applyProtection="1">
      <alignment horizontal="center"/>
      <protection hidden="1"/>
    </xf>
    <xf numFmtId="0" fontId="16" fillId="24" borderId="28" xfId="0" applyFont="1" applyFill="1" applyBorder="1" applyAlignment="1" applyProtection="1">
      <alignment horizontal="center" wrapText="1"/>
      <protection hidden="1"/>
    </xf>
    <xf numFmtId="0" fontId="16" fillId="24" borderId="20" xfId="0" applyFont="1" applyFill="1" applyBorder="1" applyAlignment="1" applyProtection="1">
      <alignment horizontal="center" wrapText="1"/>
      <protection hidden="1"/>
    </xf>
    <xf numFmtId="0" fontId="16" fillId="24" borderId="24" xfId="0" applyFont="1" applyFill="1" applyBorder="1" applyAlignment="1" applyProtection="1">
      <alignment horizontal="center" wrapText="1"/>
      <protection hidden="1"/>
    </xf>
    <xf numFmtId="0" fontId="16" fillId="24" borderId="48" xfId="0" applyFont="1" applyFill="1" applyBorder="1" applyAlignment="1" applyProtection="1">
      <alignment horizontal="center" wrapText="1"/>
      <protection hidden="1"/>
    </xf>
    <xf numFmtId="0" fontId="16" fillId="24" borderId="47" xfId="0" applyFont="1" applyFill="1" applyBorder="1" applyAlignment="1" applyProtection="1">
      <alignment horizontal="center" wrapText="1"/>
      <protection hidden="1"/>
    </xf>
    <xf numFmtId="0" fontId="16" fillId="24" borderId="49" xfId="0" applyFont="1" applyFill="1" applyBorder="1" applyAlignment="1" applyProtection="1">
      <alignment horizontal="center" wrapText="1"/>
      <protection hidden="1"/>
    </xf>
    <xf numFmtId="0" fontId="16" fillId="6" borderId="25" xfId="0" applyFont="1" applyFill="1" applyBorder="1" applyAlignment="1" applyProtection="1">
      <alignment horizontal="right"/>
      <protection hidden="1"/>
    </xf>
    <xf numFmtId="0" fontId="16" fillId="6" borderId="21" xfId="0" applyFont="1" applyFill="1" applyBorder="1" applyAlignment="1" applyProtection="1">
      <alignment horizontal="right"/>
      <protection hidden="1"/>
    </xf>
    <xf numFmtId="0" fontId="1" fillId="6" borderId="25" xfId="0" applyFont="1" applyFill="1" applyBorder="1" applyAlignment="1" applyProtection="1">
      <alignment horizontal="right"/>
      <protection hidden="1"/>
    </xf>
    <xf numFmtId="0" fontId="1" fillId="6" borderId="21" xfId="0" applyFont="1" applyFill="1" applyBorder="1" applyAlignment="1" applyProtection="1">
      <alignment horizontal="right"/>
      <protection hidden="1"/>
    </xf>
    <xf numFmtId="0" fontId="5" fillId="0" borderId="28" xfId="0" applyFont="1" applyBorder="1" applyAlignment="1" applyProtection="1">
      <alignment horizontal="center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51" xfId="0" applyFont="1" applyBorder="1" applyAlignment="1" applyProtection="1">
      <alignment horizontal="center"/>
      <protection hidden="1"/>
    </xf>
    <xf numFmtId="0" fontId="5" fillId="0" borderId="50" xfId="0" applyFont="1" applyBorder="1" applyAlignment="1" applyProtection="1">
      <alignment horizontal="center"/>
      <protection hidden="1"/>
    </xf>
    <xf numFmtId="0" fontId="12" fillId="0" borderId="25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</cellXfs>
  <cellStyles count="4">
    <cellStyle name="Moeda" xfId="2" builtinId="4"/>
    <cellStyle name="Normal" xfId="0" builtinId="0"/>
    <cellStyle name="Porcentagem" xfId="1" builtinId="5"/>
    <cellStyle name="Vírgula" xfId="3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F2F2F2"/>
      <rgbColor rgb="00660066"/>
      <rgbColor rgb="00FF8080"/>
      <rgbColor rgb="000066CC"/>
      <rgbColor rgb="00CCCCCC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6E6E6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66"/>
      <rgbColor rgb="00999999"/>
      <rgbColor rgb="00003366"/>
      <rgbColor rgb="00339966"/>
      <rgbColor rgb="00003300"/>
      <rgbColor rgb="00333300"/>
      <rgbColor rgb="00DC2300"/>
      <rgbColor rgb="00993366"/>
      <rgbColor rgb="00333399"/>
      <rgbColor rgb="00333333"/>
    </indexedColors>
    <mruColors>
      <color rgb="FF98F698"/>
      <color rgb="FF33ED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CALCULO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RODUTOS!A1"/><Relationship Id="rId1" Type="http://schemas.openxmlformats.org/officeDocument/2006/relationships/hyperlink" Target="#OR&#199;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CALCULO!A1"/><Relationship Id="rId1" Type="http://schemas.openxmlformats.org/officeDocument/2006/relationships/hyperlink" Target="#OR&#199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lan1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lan3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OR&#199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43545</xdr:colOff>
      <xdr:row>0</xdr:row>
      <xdr:rowOff>32657</xdr:rowOff>
    </xdr:from>
    <xdr:to>
      <xdr:col>2</xdr:col>
      <xdr:colOff>5443</xdr:colOff>
      <xdr:row>4</xdr:row>
      <xdr:rowOff>21772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5" y="32657"/>
          <a:ext cx="3918856" cy="947058"/>
        </a:xfrm>
        <a:prstGeom prst="rect">
          <a:avLst/>
        </a:prstGeom>
      </xdr:spPr>
    </xdr:pic>
    <xdr:clientData/>
  </xdr:twoCellAnchor>
  <xdr:twoCellAnchor>
    <xdr:from>
      <xdr:col>18</xdr:col>
      <xdr:colOff>67232</xdr:colOff>
      <xdr:row>6</xdr:row>
      <xdr:rowOff>190499</xdr:rowOff>
    </xdr:from>
    <xdr:to>
      <xdr:col>24</xdr:col>
      <xdr:colOff>145676</xdr:colOff>
      <xdr:row>43</xdr:row>
      <xdr:rowOff>33618</xdr:rowOff>
    </xdr:to>
    <xdr:sp macro="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0645585" y="1591234"/>
          <a:ext cx="3709150" cy="6084796"/>
        </a:xfrm>
        <a:prstGeom prst="roundRect">
          <a:avLst/>
        </a:prstGeom>
        <a:solidFill>
          <a:srgbClr val="002060"/>
        </a:solidFill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lang="pt-BR" sz="1400" b="1">
              <a:solidFill>
                <a:schemeClr val="bg1">
                  <a:lumMod val="75000"/>
                </a:schemeClr>
              </a:solidFill>
            </a:rPr>
            <a:t>-PPI8 --&gt; PORTA PIV. INCOLOR 8mm</a:t>
          </a:r>
        </a:p>
        <a:p>
          <a:pPr algn="l"/>
          <a:r>
            <a:rPr lang="pt-BR" sz="1400" b="1">
              <a:solidFill>
                <a:schemeClr val="bg1">
                  <a:lumMod val="75000"/>
                </a:schemeClr>
              </a:solidFill>
            </a:rPr>
            <a:t>-PPV8--&gt; PORTA PIV. VERDE / FUMÊ 8mm</a:t>
          </a:r>
        </a:p>
        <a:p>
          <a:pPr algn="l"/>
          <a:r>
            <a:rPr lang="pt-BR" sz="1400" b="1">
              <a:solidFill>
                <a:schemeClr val="bg1">
                  <a:lumMod val="75000"/>
                </a:schemeClr>
              </a:solidFill>
            </a:rPr>
            <a:t>-PP2i8-&gt; PORTA PIV. 2F INCOLOR</a:t>
          </a:r>
          <a:r>
            <a:rPr lang="pt-BR" sz="1400" b="1" baseline="0">
              <a:solidFill>
                <a:schemeClr val="bg1">
                  <a:lumMod val="75000"/>
                </a:schemeClr>
              </a:solidFill>
            </a:rPr>
            <a:t> 8mm</a:t>
          </a:r>
          <a:endParaRPr lang="pt-BR" sz="1400" b="1">
            <a:solidFill>
              <a:schemeClr val="bg1">
                <a:lumMod val="75000"/>
              </a:schemeClr>
            </a:solidFill>
          </a:endParaRPr>
        </a:p>
        <a:p>
          <a:pPr algn="l"/>
          <a:r>
            <a:rPr lang="pt-BR" sz="1400" b="1">
              <a:solidFill>
                <a:schemeClr val="bg1">
                  <a:lumMod val="75000"/>
                </a:schemeClr>
              </a:solidFill>
            </a:rPr>
            <a:t>-PP2V8-&gt; PORTA PIV. 2F VERDE / FUMÊ</a:t>
          </a:r>
          <a:r>
            <a:rPr lang="pt-BR" sz="1400" b="1" baseline="0">
              <a:solidFill>
                <a:schemeClr val="bg1">
                  <a:lumMod val="75000"/>
                </a:schemeClr>
              </a:solidFill>
            </a:rPr>
            <a:t> 8mm</a:t>
          </a:r>
          <a:endParaRPr lang="pt-BR" sz="1400" b="1">
            <a:solidFill>
              <a:schemeClr val="bg1">
                <a:lumMod val="75000"/>
              </a:schemeClr>
            </a:solidFill>
          </a:endParaRPr>
        </a:p>
        <a:p>
          <a:pPr algn="l"/>
          <a:r>
            <a:rPr lang="pt-BR" sz="1400" b="1">
              <a:solidFill>
                <a:schemeClr val="accent2">
                  <a:lumMod val="60000"/>
                  <a:lumOff val="40000"/>
                </a:schemeClr>
              </a:solidFill>
            </a:rPr>
            <a:t>-JT -----&gt; JATEAMENTO</a:t>
          </a:r>
        </a:p>
        <a:p>
          <a:pPr algn="l"/>
          <a:r>
            <a:rPr lang="pt-BR" sz="1400" b="1">
              <a:solidFill>
                <a:srgbClr val="92D050"/>
              </a:solidFill>
            </a:rPr>
            <a:t>-PGV---&gt;</a:t>
          </a:r>
          <a:r>
            <a:rPr lang="pt-BR" sz="1400" b="1" baseline="0">
              <a:solidFill>
                <a:srgbClr val="92D050"/>
              </a:solidFill>
            </a:rPr>
            <a:t> PIVOTANTE G. VERDE / FUME</a:t>
          </a:r>
        </a:p>
        <a:p>
          <a:pPr algn="l"/>
          <a:r>
            <a:rPr lang="pt-BR" sz="1400" b="1" baseline="0">
              <a:solidFill>
                <a:srgbClr val="92D050"/>
              </a:solidFill>
            </a:rPr>
            <a:t>-PGI----&gt; PIVOTANTE G. INCOLOR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-PBPV--&gt; PIVOTANTE / BASC. VERDE / FUMÊ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-PBPI---&gt; PIVOTANTE / BASC. INCOLOR</a:t>
          </a:r>
        </a:p>
        <a:p>
          <a:pPr algn="l"/>
          <a:r>
            <a:rPr lang="pt-BR" sz="1400" b="1" baseline="0">
              <a:solidFill>
                <a:srgbClr val="00B0F0"/>
              </a:solidFill>
            </a:rPr>
            <a:t>-JI8-----&gt; JANELA INCOLOR 8mm</a:t>
          </a:r>
        </a:p>
        <a:p>
          <a:pPr algn="l"/>
          <a:r>
            <a:rPr lang="pt-BR" sz="1400" b="1" baseline="0">
              <a:solidFill>
                <a:srgbClr val="00B0F0"/>
              </a:solidFill>
            </a:rPr>
            <a:t>-JV8----&gt; JANELA VERDE / FUMÊ 8mm</a:t>
          </a:r>
        </a:p>
        <a:p>
          <a:pPr algn="l"/>
          <a:r>
            <a:rPr lang="pt-BR" sz="1400" b="1" baseline="0">
              <a:solidFill>
                <a:schemeClr val="accent6">
                  <a:lumMod val="75000"/>
                </a:schemeClr>
              </a:solidFill>
            </a:rPr>
            <a:t>-PCI2---&gt; PORTA CORRER INC. 2F </a:t>
          </a:r>
        </a:p>
        <a:p>
          <a:pPr algn="l"/>
          <a:r>
            <a:rPr lang="pt-BR" sz="1400" b="1" baseline="0">
              <a:solidFill>
                <a:schemeClr val="accent6">
                  <a:lumMod val="75000"/>
                </a:schemeClr>
              </a:solidFill>
            </a:rPr>
            <a:t>-PCV2--&gt; PORTA CORRER V/F 2F</a:t>
          </a:r>
        </a:p>
        <a:p>
          <a:pPr algn="l"/>
          <a:r>
            <a:rPr lang="pt-BR" sz="1400" b="1" baseline="0">
              <a:solidFill>
                <a:schemeClr val="accent6">
                  <a:lumMod val="75000"/>
                </a:schemeClr>
              </a:solidFill>
            </a:rPr>
            <a:t>-PCI4---&gt; PORTA CORRER INC. 4F</a:t>
          </a:r>
        </a:p>
        <a:p>
          <a:pPr algn="l"/>
          <a:r>
            <a:rPr lang="pt-BR" sz="1400" b="1" baseline="0">
              <a:solidFill>
                <a:schemeClr val="accent6">
                  <a:lumMod val="75000"/>
                </a:schemeClr>
              </a:solidFill>
            </a:rPr>
            <a:t>-PCV4--&gt; PORTA CORRER V/F 4F</a:t>
          </a:r>
        </a:p>
        <a:p>
          <a:pPr algn="l"/>
          <a:r>
            <a:rPr lang="pt-BR" sz="1400" b="1" baseline="0">
              <a:solidFill>
                <a:schemeClr val="accent6">
                  <a:lumMod val="75000"/>
                </a:schemeClr>
              </a:solidFill>
            </a:rPr>
            <a:t>-PCEI---&gt; PORTA CORRER EXT. INC.</a:t>
          </a:r>
        </a:p>
        <a:p>
          <a:pPr algn="l"/>
          <a:r>
            <a:rPr lang="pt-BR" sz="1400" b="1" baseline="0">
              <a:solidFill>
                <a:schemeClr val="accent6">
                  <a:lumMod val="75000"/>
                </a:schemeClr>
              </a:solidFill>
            </a:rPr>
            <a:t>-PCEV--&gt; PORTA CORRER EXT.  V/F</a:t>
          </a:r>
        </a:p>
        <a:p>
          <a:pPr algn="l"/>
          <a:r>
            <a:rPr lang="pt-BR" sz="1400" b="1" baseline="0">
              <a:solidFill>
                <a:srgbClr val="00B0F0"/>
              </a:solidFill>
            </a:rPr>
            <a:t>-BI------&gt; BOX INCOLOR 8mm</a:t>
          </a:r>
        </a:p>
        <a:p>
          <a:pPr algn="l"/>
          <a:r>
            <a:rPr lang="pt-BR" sz="1400" b="1" baseline="0">
              <a:solidFill>
                <a:srgbClr val="00B0F0"/>
              </a:solidFill>
            </a:rPr>
            <a:t>-BV-----&gt; BOX V/F 8mm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-EB4---&gt; ESPELHO BISOT. 4mm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-EC4---&gt; ESPELHO COMUM 4mm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-FPA---&gt; FECHA PIA ACRILICO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-FPV---&gt; FECHA PIA VIDRO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-VFI----&gt; VIDRO FIXO INCOLOR</a:t>
          </a:r>
        </a:p>
        <a:p>
          <a:pPr algn="l"/>
          <a:r>
            <a:rPr lang="pt-BR" sz="1400" b="1" baseline="0">
              <a:solidFill>
                <a:schemeClr val="accent2">
                  <a:lumMod val="60000"/>
                  <a:lumOff val="40000"/>
                </a:schemeClr>
              </a:solidFill>
            </a:rPr>
            <a:t>-VFV---&gt; VIDRO FIXO V/F</a:t>
          </a:r>
        </a:p>
        <a:p>
          <a:pPr algn="l"/>
          <a:r>
            <a:rPr lang="pt-BR" sz="1400" b="1" baseline="0">
              <a:solidFill>
                <a:srgbClr val="FFFF00"/>
              </a:solidFill>
            </a:rPr>
            <a:t>-VC4---&gt; VIDRO COMUM 4mm</a:t>
          </a:r>
        </a:p>
        <a:p>
          <a:pPr algn="l"/>
          <a:r>
            <a:rPr lang="pt-BR" sz="1400" b="1" baseline="0">
              <a:solidFill>
                <a:srgbClr val="FFFF00"/>
              </a:solidFill>
            </a:rPr>
            <a:t>-VC6---&gt; VIDRO COMUM 6mm</a:t>
          </a:r>
        </a:p>
        <a:p>
          <a:pPr algn="l"/>
          <a:endParaRPr lang="pt-BR" sz="1400" b="1" baseline="0">
            <a:solidFill>
              <a:schemeClr val="accent2">
                <a:lumMod val="60000"/>
                <a:lumOff val="40000"/>
              </a:schemeClr>
            </a:solidFill>
          </a:endParaRPr>
        </a:p>
        <a:p>
          <a:pPr algn="l"/>
          <a:endParaRPr lang="pt-BR" sz="1200" b="1" baseline="0"/>
        </a:p>
      </xdr:txBody>
    </xdr:sp>
    <xdr:clientData/>
  </xdr:twoCellAnchor>
  <xdr:twoCellAnchor>
    <xdr:from>
      <xdr:col>14</xdr:col>
      <xdr:colOff>67235</xdr:colOff>
      <xdr:row>7</xdr:row>
      <xdr:rowOff>56029</xdr:rowOff>
    </xdr:from>
    <xdr:to>
      <xdr:col>17</xdr:col>
      <xdr:colOff>201705</xdr:colOff>
      <xdr:row>8</xdr:row>
      <xdr:rowOff>85725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8606117" y="1703294"/>
          <a:ext cx="1524000" cy="276225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CALCULO</a:t>
          </a:r>
        </a:p>
      </xdr:txBody>
    </xdr:sp>
    <xdr:clientData/>
  </xdr:twoCellAnchor>
  <xdr:twoCellAnchor>
    <xdr:from>
      <xdr:col>14</xdr:col>
      <xdr:colOff>56030</xdr:colOff>
      <xdr:row>9</xdr:row>
      <xdr:rowOff>44823</xdr:rowOff>
    </xdr:from>
    <xdr:to>
      <xdr:col>17</xdr:col>
      <xdr:colOff>168088</xdr:colOff>
      <xdr:row>10</xdr:row>
      <xdr:rowOff>96931</xdr:rowOff>
    </xdr:to>
    <xdr:sp macro="[1]!FINLZ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8594912" y="2185147"/>
          <a:ext cx="1501588" cy="276225"/>
        </a:xfrm>
        <a:prstGeom prst="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600" b="1">
              <a:solidFill>
                <a:schemeClr val="bg1"/>
              </a:solidFill>
            </a:rPr>
            <a:t>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0</xdr:row>
      <xdr:rowOff>95250</xdr:rowOff>
    </xdr:from>
    <xdr:to>
      <xdr:col>2</xdr:col>
      <xdr:colOff>981075</xdr:colOff>
      <xdr:row>2</xdr:row>
      <xdr:rowOff>47625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762000" y="95250"/>
          <a:ext cx="1524000" cy="276225"/>
        </a:xfrm>
        <a:prstGeom prst="rect">
          <a:avLst/>
        </a:prstGeom>
        <a:solidFill>
          <a:srgbClr val="C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2</xdr:col>
      <xdr:colOff>1171575</xdr:colOff>
      <xdr:row>0</xdr:row>
      <xdr:rowOff>95250</xdr:rowOff>
    </xdr:from>
    <xdr:to>
      <xdr:col>2</xdr:col>
      <xdr:colOff>2438400</xdr:colOff>
      <xdr:row>2</xdr:row>
      <xdr:rowOff>47625</xdr:rowOff>
    </xdr:to>
    <xdr:sp macro="[1]!FINLZ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3095625" y="95250"/>
          <a:ext cx="1266825" cy="276225"/>
        </a:xfrm>
        <a:prstGeom prst="rect">
          <a:avLst/>
        </a:prstGeom>
        <a:solidFill>
          <a:srgbClr val="00B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1200" b="1">
              <a:solidFill>
                <a:schemeClr val="bg1"/>
              </a:solidFill>
            </a:rPr>
            <a:t>PRODUTOS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28575</xdr:rowOff>
    </xdr:from>
    <xdr:to>
      <xdr:col>10</xdr:col>
      <xdr:colOff>333375</xdr:colOff>
      <xdr:row>0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9048750" y="28575"/>
          <a:ext cx="1524000" cy="276225"/>
        </a:xfrm>
        <a:prstGeom prst="rect">
          <a:avLst/>
        </a:prstGeom>
        <a:solidFill>
          <a:srgbClr val="C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ORÇAMENTO</a:t>
          </a:r>
        </a:p>
      </xdr:txBody>
    </xdr:sp>
    <xdr:clientData/>
  </xdr:twoCellAnchor>
  <xdr:twoCellAnchor>
    <xdr:from>
      <xdr:col>8</xdr:col>
      <xdr:colOff>28575</xdr:colOff>
      <xdr:row>0</xdr:row>
      <xdr:rowOff>352425</xdr:rowOff>
    </xdr:from>
    <xdr:to>
      <xdr:col>10</xdr:col>
      <xdr:colOff>333375</xdr:colOff>
      <xdr:row>0</xdr:row>
      <xdr:rowOff>628650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9048750" y="352425"/>
          <a:ext cx="1524000" cy="276225"/>
        </a:xfrm>
        <a:prstGeom prst="rect">
          <a:avLst/>
        </a:prstGeom>
        <a:solidFill>
          <a:srgbClr val="00206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CALCULO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5</xdr:row>
      <xdr:rowOff>66675</xdr:rowOff>
    </xdr:from>
    <xdr:to>
      <xdr:col>5</xdr:col>
      <xdr:colOff>247650</xdr:colOff>
      <xdr:row>8</xdr:row>
      <xdr:rowOff>123825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714500" y="876300"/>
          <a:ext cx="1581150" cy="542925"/>
        </a:xfrm>
        <a:prstGeom prst="rect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400">
              <a:solidFill>
                <a:schemeClr val="bg1"/>
              </a:solidFill>
            </a:rPr>
            <a:t>CLIENTES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</xdr:row>
      <xdr:rowOff>114300</xdr:rowOff>
    </xdr:from>
    <xdr:to>
      <xdr:col>2</xdr:col>
      <xdr:colOff>466725</xdr:colOff>
      <xdr:row>5</xdr:row>
      <xdr:rowOff>9525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590550" y="276225"/>
          <a:ext cx="1095375" cy="542925"/>
        </a:xfrm>
        <a:prstGeom prst="rect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400">
              <a:solidFill>
                <a:schemeClr val="bg1"/>
              </a:solidFill>
            </a:rPr>
            <a:t>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3</xdr:col>
      <xdr:colOff>495300</xdr:colOff>
      <xdr:row>1</xdr:row>
      <xdr:rowOff>276225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2114550" y="190500"/>
          <a:ext cx="1657350" cy="247650"/>
        </a:xfrm>
        <a:prstGeom prst="rect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400">
              <a:solidFill>
                <a:schemeClr val="bg1"/>
              </a:solidFill>
            </a:rPr>
            <a:t>NOT / ORÇ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ERSONAL"/>
    </sheetNames>
    <definedNames>
      <definedName name="FINLZ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FF0000"/>
  </sheetPr>
  <dimension ref="A1:R53"/>
  <sheetViews>
    <sheetView showGridLines="0" tabSelected="1" zoomScale="70" zoomScaleNormal="70" workbookViewId="0">
      <selection activeCell="A16" sqref="A16"/>
    </sheetView>
  </sheetViews>
  <sheetFormatPr defaultRowHeight="15" x14ac:dyDescent="0.2"/>
  <cols>
    <col min="1" max="1" width="11.85546875" customWidth="1"/>
    <col min="2" max="2" width="46.5703125" customWidth="1"/>
    <col min="3" max="3" width="9.140625" style="12" customWidth="1"/>
    <col min="4" max="4" width="8" style="4" bestFit="1" customWidth="1"/>
    <col min="5" max="5" width="7.140625" style="10" bestFit="1" customWidth="1"/>
    <col min="6" max="6" width="2.85546875" style="10" customWidth="1"/>
    <col min="7" max="7" width="7.140625" customWidth="1"/>
    <col min="8" max="8" width="10.7109375" style="9" hidden="1" customWidth="1"/>
    <col min="9" max="9" width="14" style="5" customWidth="1"/>
    <col min="10" max="12" width="13.42578125" style="5" hidden="1" customWidth="1"/>
    <col min="13" max="13" width="21.140625" style="6" customWidth="1"/>
    <col min="14" max="14" width="3.85546875" customWidth="1"/>
    <col min="15" max="15" width="9.28515625" style="62" bestFit="1" customWidth="1"/>
    <col min="16" max="16" width="2.42578125" style="62" customWidth="1"/>
    <col min="17" max="17" width="9.28515625" style="62" bestFit="1" customWidth="1"/>
    <col min="18" max="18" width="12.28515625" style="32" bestFit="1" customWidth="1"/>
  </cols>
  <sheetData>
    <row r="1" spans="1:18" ht="21" customHeight="1" x14ac:dyDescent="0.2">
      <c r="A1" s="155"/>
      <c r="B1" s="156"/>
      <c r="C1" s="157" t="s">
        <v>16</v>
      </c>
      <c r="D1" s="158"/>
      <c r="E1" s="158"/>
      <c r="F1" s="158"/>
      <c r="G1" s="158"/>
      <c r="H1" s="158"/>
      <c r="I1" s="158"/>
      <c r="J1" s="158"/>
      <c r="K1" s="158"/>
      <c r="L1" s="158"/>
      <c r="M1" s="159"/>
    </row>
    <row r="2" spans="1:18" ht="11.25" customHeight="1" x14ac:dyDescent="0.2">
      <c r="A2" s="160"/>
      <c r="C2" s="191" t="s">
        <v>18</v>
      </c>
      <c r="D2" s="192"/>
      <c r="E2" s="192"/>
      <c r="F2" s="192"/>
      <c r="G2" s="192"/>
      <c r="H2" s="192"/>
      <c r="I2" s="192"/>
      <c r="J2" s="192"/>
      <c r="K2" s="192"/>
      <c r="L2" s="192"/>
      <c r="M2" s="193"/>
    </row>
    <row r="3" spans="1:18" ht="21" customHeight="1" x14ac:dyDescent="0.2">
      <c r="A3" s="73"/>
      <c r="B3" s="4"/>
      <c r="C3" s="191" t="s">
        <v>177</v>
      </c>
      <c r="D3" s="192"/>
      <c r="E3" s="192"/>
      <c r="F3" s="192"/>
      <c r="G3" s="192"/>
      <c r="H3" s="192"/>
      <c r="I3" s="192"/>
      <c r="J3" s="192"/>
      <c r="K3" s="192"/>
      <c r="L3" s="192"/>
      <c r="M3" s="193"/>
    </row>
    <row r="4" spans="1:18" ht="21" customHeight="1" x14ac:dyDescent="0.2">
      <c r="A4" s="73"/>
      <c r="B4" s="4"/>
      <c r="C4" s="194" t="s">
        <v>17</v>
      </c>
      <c r="D4" s="195"/>
      <c r="E4" s="195"/>
      <c r="F4" s="195"/>
      <c r="G4" s="195"/>
      <c r="H4" s="195"/>
      <c r="I4" s="195"/>
      <c r="J4" s="195"/>
      <c r="K4" s="195"/>
      <c r="L4" s="195"/>
      <c r="M4" s="196"/>
    </row>
    <row r="5" spans="1:18" ht="15.75" x14ac:dyDescent="0.25">
      <c r="A5" s="197" t="s">
        <v>3</v>
      </c>
      <c r="B5" s="198"/>
      <c r="C5" s="199"/>
      <c r="D5" s="199"/>
      <c r="E5" s="199"/>
      <c r="F5" s="199"/>
      <c r="G5" s="199"/>
      <c r="H5" s="199"/>
      <c r="I5" s="199"/>
      <c r="J5" s="199"/>
      <c r="K5" s="199"/>
      <c r="L5" s="199"/>
      <c r="M5" s="200"/>
    </row>
    <row r="6" spans="1:18" s="3" customFormat="1" ht="21.6" customHeight="1" x14ac:dyDescent="0.25">
      <c r="A6" s="152" t="s">
        <v>12</v>
      </c>
      <c r="B6" s="161"/>
      <c r="C6" s="201" t="s">
        <v>10</v>
      </c>
      <c r="D6" s="201"/>
      <c r="E6" s="201"/>
      <c r="F6" s="183"/>
      <c r="G6" s="183"/>
      <c r="H6" s="183"/>
      <c r="I6" s="183"/>
      <c r="J6" s="183"/>
      <c r="K6" s="183"/>
      <c r="L6" s="183"/>
      <c r="M6" s="184"/>
      <c r="N6"/>
      <c r="O6" s="138"/>
      <c r="P6" s="138"/>
      <c r="Q6" s="138"/>
      <c r="R6" s="143"/>
    </row>
    <row r="7" spans="1:18" s="3" customFormat="1" ht="25.15" customHeight="1" x14ac:dyDescent="0.25">
      <c r="A7" s="152" t="s">
        <v>13</v>
      </c>
      <c r="B7" s="161"/>
      <c r="C7" s="201" t="s">
        <v>15</v>
      </c>
      <c r="D7" s="201"/>
      <c r="E7" s="201"/>
      <c r="F7" s="185"/>
      <c r="G7" s="185"/>
      <c r="H7" s="185"/>
      <c r="I7" s="185"/>
      <c r="J7" s="185"/>
      <c r="K7" s="185"/>
      <c r="L7" s="185"/>
      <c r="M7" s="186"/>
      <c r="N7"/>
      <c r="O7" s="138"/>
      <c r="P7" s="138"/>
      <c r="Q7" s="138"/>
      <c r="R7" s="143"/>
    </row>
    <row r="8" spans="1:18" ht="22.9" customHeight="1" x14ac:dyDescent="0.25">
      <c r="A8" s="152" t="s">
        <v>14</v>
      </c>
      <c r="B8" s="162"/>
      <c r="C8" s="201" t="s">
        <v>11</v>
      </c>
      <c r="D8" s="201"/>
      <c r="E8" s="201"/>
      <c r="F8" s="185"/>
      <c r="G8" s="185"/>
      <c r="H8" s="185"/>
      <c r="I8" s="185"/>
      <c r="J8" s="185"/>
      <c r="K8" s="185"/>
      <c r="L8" s="185"/>
      <c r="M8" s="186"/>
    </row>
    <row r="9" spans="1:18" ht="21" customHeight="1" x14ac:dyDescent="0.25">
      <c r="A9" s="153" t="s">
        <v>176</v>
      </c>
      <c r="B9" s="154"/>
      <c r="C9" s="201" t="s">
        <v>19</v>
      </c>
      <c r="D9" s="201"/>
      <c r="E9" s="201"/>
      <c r="F9" s="201"/>
      <c r="G9" s="187"/>
      <c r="H9" s="187"/>
      <c r="I9" s="187"/>
      <c r="J9" s="187"/>
      <c r="K9" s="187"/>
      <c r="L9" s="187"/>
      <c r="M9" s="188"/>
      <c r="P9" s="62" t="s">
        <v>71</v>
      </c>
    </row>
    <row r="10" spans="1:18" ht="18" x14ac:dyDescent="0.25">
      <c r="A10" s="74"/>
      <c r="B10" s="13"/>
      <c r="C10" s="14"/>
      <c r="D10" s="15"/>
      <c r="E10" s="16"/>
      <c r="F10" s="16"/>
      <c r="G10" s="13"/>
      <c r="H10" s="163"/>
      <c r="I10" s="15"/>
      <c r="J10" s="15"/>
      <c r="K10" s="15"/>
      <c r="L10" s="15"/>
      <c r="M10" s="112">
        <f ca="1">TODAY()</f>
        <v>45792</v>
      </c>
    </row>
    <row r="11" spans="1:18" ht="23.25" x14ac:dyDescent="0.35">
      <c r="A11" s="206" t="s">
        <v>4</v>
      </c>
      <c r="B11" s="207"/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8"/>
    </row>
    <row r="12" spans="1:18" s="31" customFormat="1" ht="21" customHeight="1" x14ac:dyDescent="0.25">
      <c r="A12" s="164" t="s">
        <v>159</v>
      </c>
      <c r="B12" s="165" t="s">
        <v>1</v>
      </c>
      <c r="C12" s="165" t="s">
        <v>52</v>
      </c>
      <c r="D12" s="165" t="s">
        <v>56</v>
      </c>
      <c r="E12" s="165" t="s">
        <v>54</v>
      </c>
      <c r="F12" s="165" t="s">
        <v>72</v>
      </c>
      <c r="G12" s="165" t="s">
        <v>160</v>
      </c>
      <c r="H12" s="165" t="s">
        <v>9</v>
      </c>
      <c r="I12" s="165" t="s">
        <v>57</v>
      </c>
      <c r="J12" s="165" t="s">
        <v>85</v>
      </c>
      <c r="K12" s="165" t="s">
        <v>86</v>
      </c>
      <c r="L12" s="165" t="s">
        <v>87</v>
      </c>
      <c r="M12" s="166" t="s">
        <v>6</v>
      </c>
      <c r="O12" s="139" t="s">
        <v>163</v>
      </c>
      <c r="P12" s="140"/>
      <c r="Q12" s="141"/>
      <c r="R12" s="137"/>
    </row>
    <row r="13" spans="1:18" ht="17.25" customHeight="1" x14ac:dyDescent="0.25">
      <c r="A13" s="209"/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1"/>
      <c r="O13" s="142" t="s">
        <v>54</v>
      </c>
      <c r="P13" s="142" t="s">
        <v>72</v>
      </c>
      <c r="Q13" s="142" t="s">
        <v>170</v>
      </c>
      <c r="R13" s="136" t="s">
        <v>164</v>
      </c>
    </row>
    <row r="14" spans="1:18" s="7" customFormat="1" ht="18" customHeight="1" x14ac:dyDescent="0.25">
      <c r="A14" s="167"/>
      <c r="B14" s="168" t="str">
        <f>IF(A14="","",VLOOKUP(A14,CALCULO!$B$1:M$100112,2,0))</f>
        <v/>
      </c>
      <c r="C14" s="169"/>
      <c r="D14" s="170" t="str">
        <f>IF(A14="","",VLOOKUP(A14,CALCULO!$B$1:M$100112,4,0))</f>
        <v/>
      </c>
      <c r="E14" s="169"/>
      <c r="F14" s="169" t="s">
        <v>162</v>
      </c>
      <c r="G14" s="169"/>
      <c r="H14" s="171">
        <f t="shared" ref="H14:H36" si="0">O14*Q14*C14</f>
        <v>0</v>
      </c>
      <c r="I14" s="172" t="str">
        <f t="shared" ref="I14:I36" si="1">IF(A14="","",M14/C14)</f>
        <v/>
      </c>
      <c r="J14" s="172" t="str">
        <f>IF(A14="","",IF(A14="","",VLOOKUP(A14,CALCULO!$B$1:M$100112,11,0)))</f>
        <v/>
      </c>
      <c r="K14" s="172" t="str">
        <f>IF(A14="","",IF(A14="","",IF(A14="","",VLOOKUP(A14,CALCULO!$B$1:M$100112,10,0))))</f>
        <v/>
      </c>
      <c r="L14" s="172" t="str">
        <f>IF(A14="","",IF(A14="","",VLOOKUP(A14,CALCULO!$B$1:M$100112,9,0)))</f>
        <v/>
      </c>
      <c r="M14" s="173" t="str">
        <f t="shared" ref="M14:M36" si="2">IF(O14="","",(K14*O14*C14)+(J14*C14)+(H14*L14)+R14)</f>
        <v/>
      </c>
      <c r="O14" s="150"/>
      <c r="P14" s="151" t="s">
        <v>72</v>
      </c>
      <c r="Q14" s="150"/>
      <c r="R14" s="144"/>
    </row>
    <row r="15" spans="1:18" s="7" customFormat="1" ht="16.5" x14ac:dyDescent="0.25">
      <c r="A15" s="167"/>
      <c r="B15" s="168" t="str">
        <f>IF(A15="","",VLOOKUP(A15,CALCULO!$B$1:M$100112,2,0))</f>
        <v/>
      </c>
      <c r="C15" s="169"/>
      <c r="D15" s="170" t="str">
        <f>IF(A15="","",VLOOKUP(A15,CALCULO!$B$1:M$100112,4,0))</f>
        <v/>
      </c>
      <c r="E15" s="169"/>
      <c r="F15" s="169" t="s">
        <v>162</v>
      </c>
      <c r="G15" s="169"/>
      <c r="H15" s="171">
        <f t="shared" ref="H15" si="3">O15*Q15*C15</f>
        <v>0</v>
      </c>
      <c r="I15" s="172" t="str">
        <f t="shared" si="1"/>
        <v/>
      </c>
      <c r="J15" s="172" t="str">
        <f>IF(A15="","",IF(A15="","",VLOOKUP(A15,CALCULO!$B$1:M$100112,11,0)))</f>
        <v/>
      </c>
      <c r="K15" s="172" t="str">
        <f>IF(A15="","",IF(A15="","",IF(A15="","",VLOOKUP(A15,CALCULO!$B$1:M$100112,10,0))))</f>
        <v/>
      </c>
      <c r="L15" s="172" t="str">
        <f>IF(A15="","",IF(A15="","",VLOOKUP(A15,CALCULO!$B$1:M$100112,9,0)))</f>
        <v/>
      </c>
      <c r="M15" s="173" t="str">
        <f t="shared" si="2"/>
        <v/>
      </c>
      <c r="O15" s="150"/>
      <c r="P15" s="151" t="s">
        <v>72</v>
      </c>
      <c r="Q15" s="150"/>
      <c r="R15" s="149"/>
    </row>
    <row r="16" spans="1:18" s="7" customFormat="1" ht="16.5" x14ac:dyDescent="0.25">
      <c r="A16" s="167"/>
      <c r="B16" s="168" t="str">
        <f>IF(A16="","",VLOOKUP(A16,CALCULO!$B$1:M$100112,2,0))</f>
        <v/>
      </c>
      <c r="C16" s="169"/>
      <c r="D16" s="170" t="str">
        <f>IF(A16="","",VLOOKUP(A16,CALCULO!$B$1:M$100112,4,0))</f>
        <v/>
      </c>
      <c r="E16" s="169"/>
      <c r="F16" s="169" t="s">
        <v>162</v>
      </c>
      <c r="G16" s="169"/>
      <c r="H16" s="171">
        <f t="shared" si="0"/>
        <v>0</v>
      </c>
      <c r="I16" s="172" t="str">
        <f t="shared" si="1"/>
        <v/>
      </c>
      <c r="J16" s="172" t="str">
        <f>IF(A16="","",IF(A16="","",VLOOKUP(A16,CALCULO!$B$1:M$100112,11,0)))</f>
        <v/>
      </c>
      <c r="K16" s="172" t="str">
        <f>IF(A16="","",IF(A16="","",IF(A16="","",VLOOKUP(A16,CALCULO!$B$1:M$100112,10,0))))</f>
        <v/>
      </c>
      <c r="L16" s="172" t="str">
        <f>IF(A16="","",IF(A16="","",VLOOKUP(A16,CALCULO!$B$1:M$100112,9,0)))</f>
        <v/>
      </c>
      <c r="M16" s="173" t="str">
        <f>IF(O16="","",(K16*O16*C16)+(J16*C16)+(H16*L16)+R16)</f>
        <v/>
      </c>
      <c r="O16" s="150"/>
      <c r="P16" s="151" t="s">
        <v>72</v>
      </c>
      <c r="Q16" s="150"/>
      <c r="R16" s="149"/>
    </row>
    <row r="17" spans="1:18" s="7" customFormat="1" ht="18" customHeight="1" x14ac:dyDescent="0.25">
      <c r="A17" s="167"/>
      <c r="B17" s="168" t="str">
        <f>IF(A17="","",VLOOKUP(A17,CALCULO!$B$1:M$100112,2,0))</f>
        <v/>
      </c>
      <c r="C17" s="169"/>
      <c r="D17" s="170" t="str">
        <f>IF(A17="","",VLOOKUP(A17,CALCULO!$B$1:M$100112,4,0))</f>
        <v/>
      </c>
      <c r="E17" s="169"/>
      <c r="F17" s="169" t="s">
        <v>162</v>
      </c>
      <c r="G17" s="169"/>
      <c r="H17" s="171">
        <f t="shared" si="0"/>
        <v>0</v>
      </c>
      <c r="I17" s="172" t="str">
        <f t="shared" si="1"/>
        <v/>
      </c>
      <c r="J17" s="172" t="str">
        <f>IF(A17="","",IF(A17="","",VLOOKUP(A17,CALCULO!$B$1:M$100112,11,0)))</f>
        <v/>
      </c>
      <c r="K17" s="172" t="str">
        <f>IF(A17="","",IF(A17="","",IF(A17="","",VLOOKUP(A17,CALCULO!$B$1:M$100112,10,0))))</f>
        <v/>
      </c>
      <c r="L17" s="172" t="str">
        <f>IF(A17="","",IF(A17="","",VLOOKUP(A17,CALCULO!$B$1:M$100112,9,0)))</f>
        <v/>
      </c>
      <c r="M17" s="173" t="str">
        <f t="shared" si="2"/>
        <v/>
      </c>
      <c r="O17" s="150"/>
      <c r="P17" s="151" t="s">
        <v>72</v>
      </c>
      <c r="Q17" s="150"/>
      <c r="R17" s="149"/>
    </row>
    <row r="18" spans="1:18" s="7" customFormat="1" ht="18" customHeight="1" x14ac:dyDescent="0.25">
      <c r="A18" s="167"/>
      <c r="B18" s="168" t="str">
        <f>IF(A18="","",VLOOKUP(A18,CALCULO!$B$1:M$100112,2,0))</f>
        <v/>
      </c>
      <c r="C18" s="169"/>
      <c r="D18" s="170" t="str">
        <f>IF(A18="","",VLOOKUP(A18,CALCULO!$B$1:M$100112,4,0))</f>
        <v/>
      </c>
      <c r="E18" s="169"/>
      <c r="F18" s="169" t="s">
        <v>162</v>
      </c>
      <c r="G18" s="169"/>
      <c r="H18" s="171">
        <f t="shared" si="0"/>
        <v>0</v>
      </c>
      <c r="I18" s="172" t="str">
        <f t="shared" si="1"/>
        <v/>
      </c>
      <c r="J18" s="172" t="str">
        <f>IF(A18="","",IF(A18="","",VLOOKUP(A18,CALCULO!$B$1:M$100112,11,0)))</f>
        <v/>
      </c>
      <c r="K18" s="172" t="str">
        <f>IF(A18="","",IF(A18="","",IF(A18="","",VLOOKUP(A18,CALCULO!$B$1:M$100112,10,0))))</f>
        <v/>
      </c>
      <c r="L18" s="172" t="str">
        <f>IF(A18="","",IF(A18="","",VLOOKUP(A18,CALCULO!$B$1:M$100112,9,0)))</f>
        <v/>
      </c>
      <c r="M18" s="173" t="str">
        <f t="shared" si="2"/>
        <v/>
      </c>
      <c r="O18" s="150"/>
      <c r="P18" s="151" t="s">
        <v>72</v>
      </c>
      <c r="Q18" s="150"/>
      <c r="R18" s="149"/>
    </row>
    <row r="19" spans="1:18" s="7" customFormat="1" ht="18" customHeight="1" x14ac:dyDescent="0.25">
      <c r="A19" s="167"/>
      <c r="B19" s="168" t="str">
        <f>IF(A19="","",VLOOKUP(A19,CALCULO!$B$1:M$100112,2,0))</f>
        <v/>
      </c>
      <c r="C19" s="169"/>
      <c r="D19" s="170" t="str">
        <f>IF(A19="","",VLOOKUP(A19,CALCULO!$B$1:M$100112,4,0))</f>
        <v/>
      </c>
      <c r="E19" s="169"/>
      <c r="F19" s="169" t="s">
        <v>162</v>
      </c>
      <c r="G19" s="169"/>
      <c r="H19" s="171">
        <f t="shared" si="0"/>
        <v>0</v>
      </c>
      <c r="I19" s="172" t="str">
        <f t="shared" si="1"/>
        <v/>
      </c>
      <c r="J19" s="172" t="str">
        <f>IF(A19="","",IF(A19="","",VLOOKUP(A19,CALCULO!$B$1:M$100112,11,0)))</f>
        <v/>
      </c>
      <c r="K19" s="172" t="str">
        <f>IF(A19="","",IF(A19="","",IF(A19="","",VLOOKUP(A19,CALCULO!$B$1:M$100112,10,0))))</f>
        <v/>
      </c>
      <c r="L19" s="172" t="str">
        <f>IF(A19="","",IF(A19="","",VLOOKUP(A19,CALCULO!$B$1:M$100112,9,0)))</f>
        <v/>
      </c>
      <c r="M19" s="173" t="str">
        <f t="shared" si="2"/>
        <v/>
      </c>
      <c r="O19" s="150"/>
      <c r="P19" s="151" t="s">
        <v>72</v>
      </c>
      <c r="Q19" s="150"/>
      <c r="R19" s="149"/>
    </row>
    <row r="20" spans="1:18" s="7" customFormat="1" ht="18" customHeight="1" x14ac:dyDescent="0.25">
      <c r="A20" s="167"/>
      <c r="B20" s="168" t="str">
        <f>IF(A20="","",VLOOKUP(A20,CALCULO!$B$1:M$100112,2,0))</f>
        <v/>
      </c>
      <c r="C20" s="169"/>
      <c r="D20" s="170" t="str">
        <f>IF(A20="","",VLOOKUP(A20,CALCULO!$B$1:M$100112,4,0))</f>
        <v/>
      </c>
      <c r="E20" s="169"/>
      <c r="F20" s="169" t="s">
        <v>162</v>
      </c>
      <c r="G20" s="169"/>
      <c r="H20" s="171">
        <f t="shared" si="0"/>
        <v>0</v>
      </c>
      <c r="I20" s="172" t="str">
        <f t="shared" si="1"/>
        <v/>
      </c>
      <c r="J20" s="172" t="str">
        <f>IF(A20="","",IF(A20="","",VLOOKUP(A20,CALCULO!$B$1:M$100112,11,0)))</f>
        <v/>
      </c>
      <c r="K20" s="172" t="str">
        <f>IF(A20="","",IF(A20="","",IF(A20="","",VLOOKUP(A20,CALCULO!$B$1:M$100112,10,0))))</f>
        <v/>
      </c>
      <c r="L20" s="172" t="str">
        <f>IF(A20="","",IF(A20="","",VLOOKUP(A20,CALCULO!$B$1:M$100112,9,0)))</f>
        <v/>
      </c>
      <c r="M20" s="173" t="str">
        <f t="shared" si="2"/>
        <v/>
      </c>
      <c r="O20" s="150"/>
      <c r="P20" s="151" t="s">
        <v>72</v>
      </c>
      <c r="Q20" s="150"/>
      <c r="R20" s="144"/>
    </row>
    <row r="21" spans="1:18" s="7" customFormat="1" ht="18" customHeight="1" x14ac:dyDescent="0.25">
      <c r="A21" s="167"/>
      <c r="B21" s="168" t="str">
        <f>IF(A21="","",VLOOKUP(A21,CALCULO!$B$1:M$100112,2,0))</f>
        <v/>
      </c>
      <c r="C21" s="169"/>
      <c r="D21" s="170" t="str">
        <f>IF(A21="","",VLOOKUP(A21,CALCULO!$B$1:M$100112,4,0))</f>
        <v/>
      </c>
      <c r="E21" s="169"/>
      <c r="F21" s="169" t="s">
        <v>162</v>
      </c>
      <c r="G21" s="169"/>
      <c r="H21" s="171">
        <f t="shared" si="0"/>
        <v>0</v>
      </c>
      <c r="I21" s="172" t="str">
        <f t="shared" si="1"/>
        <v/>
      </c>
      <c r="J21" s="172" t="str">
        <f>IF(A21="","",IF(A21="","",VLOOKUP(A21,CALCULO!$B$1:M$100112,11,0)))</f>
        <v/>
      </c>
      <c r="K21" s="172" t="str">
        <f>IF(A21="","",IF(A21="","",IF(A21="","",VLOOKUP(A21,CALCULO!$B$1:M$100112,10,0))))</f>
        <v/>
      </c>
      <c r="L21" s="172" t="str">
        <f>IF(A21="","",IF(A21="","",VLOOKUP(A21,CALCULO!$B$1:M$100112,9,0)))</f>
        <v/>
      </c>
      <c r="M21" s="173" t="str">
        <f t="shared" si="2"/>
        <v/>
      </c>
      <c r="O21" s="150"/>
      <c r="P21" s="151" t="s">
        <v>72</v>
      </c>
      <c r="Q21" s="150"/>
      <c r="R21" s="144"/>
    </row>
    <row r="22" spans="1:18" s="7" customFormat="1" ht="18" customHeight="1" x14ac:dyDescent="0.25">
      <c r="A22" s="167"/>
      <c r="B22" s="168" t="str">
        <f>IF(A22="","",VLOOKUP(A22,CALCULO!$B$1:M$100112,2,0))</f>
        <v/>
      </c>
      <c r="C22" s="169"/>
      <c r="D22" s="170" t="str">
        <f>IF(A22="","",VLOOKUP(A22,CALCULO!$B$1:M$100112,4,0))</f>
        <v/>
      </c>
      <c r="E22" s="169"/>
      <c r="F22" s="169" t="s">
        <v>162</v>
      </c>
      <c r="G22" s="169"/>
      <c r="H22" s="171">
        <f t="shared" ref="H22:H31" si="4">O22*Q22*C22</f>
        <v>0</v>
      </c>
      <c r="I22" s="172" t="str">
        <f>IF(A22="","",M22/C22)</f>
        <v/>
      </c>
      <c r="J22" s="172" t="str">
        <f>IF(A22="","",IF(A22="","",VLOOKUP(A22,CALCULO!$B$1:M$100112,11,0)))</f>
        <v/>
      </c>
      <c r="K22" s="172" t="str">
        <f>IF(A22="","",IF(A22="","",IF(A22="","",VLOOKUP(A22,CALCULO!$B$1:M$100112,10,0))))</f>
        <v/>
      </c>
      <c r="L22" s="172" t="str">
        <f>IF(A22="","",IF(A22="","",VLOOKUP(A22,CALCULO!$B$1:M$100112,9,0)))</f>
        <v/>
      </c>
      <c r="M22" s="173" t="str">
        <f t="shared" si="2"/>
        <v/>
      </c>
      <c r="O22" s="150"/>
      <c r="P22" s="151" t="s">
        <v>72</v>
      </c>
      <c r="Q22" s="150"/>
      <c r="R22" s="144"/>
    </row>
    <row r="23" spans="1:18" s="7" customFormat="1" ht="18" customHeight="1" x14ac:dyDescent="0.25">
      <c r="A23" s="167"/>
      <c r="B23" s="168" t="str">
        <f>IF(A23="","",VLOOKUP(A23,CALCULO!$B$1:M$100112,2,0))</f>
        <v/>
      </c>
      <c r="C23" s="169"/>
      <c r="D23" s="170" t="str">
        <f>IF(A23="","",VLOOKUP(A23,CALCULO!$B$1:M$100112,4,0))</f>
        <v/>
      </c>
      <c r="E23" s="169"/>
      <c r="F23" s="169" t="s">
        <v>162</v>
      </c>
      <c r="G23" s="169"/>
      <c r="H23" s="171">
        <f t="shared" si="4"/>
        <v>0</v>
      </c>
      <c r="I23" s="172" t="str">
        <f t="shared" si="1"/>
        <v/>
      </c>
      <c r="J23" s="172" t="str">
        <f>IF(A23="","",IF(A23="","",VLOOKUP(A23,CALCULO!$B$1:M$100112,11,0)))</f>
        <v/>
      </c>
      <c r="K23" s="172" t="str">
        <f>IF(A23="","",IF(A23="","",IF(A23="","",VLOOKUP(A23,CALCULO!$B$1:M$100112,10,0))))</f>
        <v/>
      </c>
      <c r="L23" s="172" t="str">
        <f>IF(A23="","",IF(A23="","",VLOOKUP(A23,CALCULO!$B$1:M$100112,9,0)))</f>
        <v/>
      </c>
      <c r="M23" s="173" t="str">
        <f t="shared" si="2"/>
        <v/>
      </c>
      <c r="O23" s="150"/>
      <c r="P23" s="151" t="s">
        <v>72</v>
      </c>
      <c r="Q23" s="150"/>
      <c r="R23" s="149"/>
    </row>
    <row r="24" spans="1:18" s="7" customFormat="1" ht="18" customHeight="1" x14ac:dyDescent="0.25">
      <c r="A24" s="167"/>
      <c r="B24" s="168" t="str">
        <f>IF(A24="","",VLOOKUP(A24,CALCULO!$B$1:M$100112,2,0))</f>
        <v/>
      </c>
      <c r="C24" s="169"/>
      <c r="D24" s="170" t="str">
        <f>IF(A24="","",VLOOKUP(A24,CALCULO!$B$1:M$100112,4,0))</f>
        <v/>
      </c>
      <c r="E24" s="169"/>
      <c r="F24" s="169" t="s">
        <v>162</v>
      </c>
      <c r="G24" s="169"/>
      <c r="H24" s="171">
        <f t="shared" si="4"/>
        <v>0</v>
      </c>
      <c r="I24" s="172" t="str">
        <f t="shared" si="1"/>
        <v/>
      </c>
      <c r="J24" s="172" t="str">
        <f>IF(A24="","",IF(A24="","",VLOOKUP(A24,CALCULO!$B$1:M$100112,11,0)))</f>
        <v/>
      </c>
      <c r="K24" s="172" t="str">
        <f>IF(A24="","",IF(A24="","",IF(A24="","",VLOOKUP(A24,CALCULO!$B$1:M$100112,10,0))))</f>
        <v/>
      </c>
      <c r="L24" s="172" t="str">
        <f>IF(A24="","",IF(A24="","",VLOOKUP(A24,CALCULO!$B$1:M$100112,9,0)))</f>
        <v/>
      </c>
      <c r="M24" s="173" t="str">
        <f t="shared" si="2"/>
        <v/>
      </c>
      <c r="O24" s="150"/>
      <c r="P24" s="151" t="s">
        <v>72</v>
      </c>
      <c r="Q24" s="150"/>
      <c r="R24" s="149"/>
    </row>
    <row r="25" spans="1:18" s="7" customFormat="1" ht="18" customHeight="1" x14ac:dyDescent="0.25">
      <c r="A25" s="167"/>
      <c r="B25" s="168" t="str">
        <f>IF(A25="","",VLOOKUP(A25,CALCULO!$B$1:M$100112,2,0))</f>
        <v/>
      </c>
      <c r="C25" s="169"/>
      <c r="D25" s="170" t="str">
        <f>IF(A25="","",VLOOKUP(A25,CALCULO!$B$1:M$100112,4,0))</f>
        <v/>
      </c>
      <c r="E25" s="169"/>
      <c r="F25" s="169" t="s">
        <v>162</v>
      </c>
      <c r="G25" s="169"/>
      <c r="H25" s="171">
        <f t="shared" si="4"/>
        <v>0</v>
      </c>
      <c r="I25" s="172" t="str">
        <f t="shared" si="1"/>
        <v/>
      </c>
      <c r="J25" s="172" t="str">
        <f>IF(A25="","",IF(A25="","",VLOOKUP(A25,CALCULO!$B$1:M$100112,11,0)))</f>
        <v/>
      </c>
      <c r="K25" s="172" t="str">
        <f>IF(A25="","",IF(A25="","",IF(A25="","",VLOOKUP(A25,CALCULO!$B$1:M$100112,10,0))))</f>
        <v/>
      </c>
      <c r="L25" s="172" t="str">
        <f>IF(A25="","",IF(A25="","",VLOOKUP(A25,CALCULO!$B$1:M$100112,9,0)))</f>
        <v/>
      </c>
      <c r="M25" s="173" t="str">
        <f t="shared" si="2"/>
        <v/>
      </c>
      <c r="O25" s="150"/>
      <c r="P25" s="151" t="s">
        <v>72</v>
      </c>
      <c r="Q25" s="150"/>
      <c r="R25" s="149"/>
    </row>
    <row r="26" spans="1:18" s="7" customFormat="1" ht="18" customHeight="1" x14ac:dyDescent="0.25">
      <c r="A26" s="167"/>
      <c r="B26" s="168" t="str">
        <f>IF(A26="","",VLOOKUP(A26,CALCULO!$B$1:M$100112,2,0))</f>
        <v/>
      </c>
      <c r="C26" s="169"/>
      <c r="D26" s="170" t="str">
        <f>IF(A26="","",VLOOKUP(A26,CALCULO!$B$1:M$100112,4,0))</f>
        <v/>
      </c>
      <c r="E26" s="169"/>
      <c r="F26" s="169" t="s">
        <v>162</v>
      </c>
      <c r="G26" s="169"/>
      <c r="H26" s="171">
        <f t="shared" si="4"/>
        <v>0</v>
      </c>
      <c r="I26" s="172" t="str">
        <f t="shared" si="1"/>
        <v/>
      </c>
      <c r="J26" s="172" t="str">
        <f>IF(A26="","",IF(A26="","",VLOOKUP(A26,CALCULO!$B$1:M$100112,11,0)))</f>
        <v/>
      </c>
      <c r="K26" s="172" t="str">
        <f>IF(A26="","",IF(A26="","",IF(A26="","",VLOOKUP(A26,CALCULO!$B$1:M$100112,10,0))))</f>
        <v/>
      </c>
      <c r="L26" s="172" t="str">
        <f>IF(A26="","",IF(A26="","",VLOOKUP(A26,CALCULO!$B$1:M$100112,9,0)))</f>
        <v/>
      </c>
      <c r="M26" s="173" t="str">
        <f t="shared" si="2"/>
        <v/>
      </c>
      <c r="O26" s="150"/>
      <c r="P26" s="151" t="s">
        <v>72</v>
      </c>
      <c r="Q26" s="150"/>
      <c r="R26" s="149"/>
    </row>
    <row r="27" spans="1:18" s="7" customFormat="1" ht="18" customHeight="1" x14ac:dyDescent="0.25">
      <c r="A27" s="167"/>
      <c r="B27" s="168" t="str">
        <f>IF(A27="","",VLOOKUP(A27,CALCULO!$B$1:M$100112,2,0))</f>
        <v/>
      </c>
      <c r="C27" s="169"/>
      <c r="D27" s="170" t="str">
        <f>IF(A27="","",VLOOKUP(A27,CALCULO!$B$1:M$100112,4,0))</f>
        <v/>
      </c>
      <c r="E27" s="169"/>
      <c r="F27" s="169" t="s">
        <v>162</v>
      </c>
      <c r="G27" s="169"/>
      <c r="H27" s="171">
        <f t="shared" si="4"/>
        <v>0</v>
      </c>
      <c r="I27" s="172" t="str">
        <f t="shared" si="1"/>
        <v/>
      </c>
      <c r="J27" s="172" t="str">
        <f>IF(A27="","",IF(A27="","",VLOOKUP(A27,CALCULO!$B$1:M$100112,11,0)))</f>
        <v/>
      </c>
      <c r="K27" s="172" t="str">
        <f>IF(A27="","",IF(A27="","",IF(A27="","",VLOOKUP(A27,CALCULO!$B$1:M$100112,10,0))))</f>
        <v/>
      </c>
      <c r="L27" s="172" t="str">
        <f>IF(A27="","",IF(A27="","",VLOOKUP(A27,CALCULO!$B$1:M$100112,9,0)))</f>
        <v/>
      </c>
      <c r="M27" s="173" t="str">
        <f t="shared" si="2"/>
        <v/>
      </c>
      <c r="O27" s="150"/>
      <c r="P27" s="151" t="s">
        <v>72</v>
      </c>
      <c r="Q27" s="150"/>
      <c r="R27" s="149"/>
    </row>
    <row r="28" spans="1:18" s="7" customFormat="1" ht="18" customHeight="1" x14ac:dyDescent="0.25">
      <c r="A28" s="167"/>
      <c r="B28" s="168" t="str">
        <f>IF(A28="","",VLOOKUP(A28,CALCULO!$B$1:M$100112,2,0))</f>
        <v/>
      </c>
      <c r="C28" s="169"/>
      <c r="D28" s="170" t="str">
        <f>IF(A28="","",VLOOKUP(A28,CALCULO!$B$1:M$100112,4,0))</f>
        <v/>
      </c>
      <c r="E28" s="169"/>
      <c r="F28" s="169" t="s">
        <v>162</v>
      </c>
      <c r="G28" s="169"/>
      <c r="H28" s="171">
        <f t="shared" si="4"/>
        <v>0</v>
      </c>
      <c r="I28" s="172" t="str">
        <f t="shared" si="1"/>
        <v/>
      </c>
      <c r="J28" s="172" t="str">
        <f>IF(A28="","",IF(A28="","",VLOOKUP(A28,CALCULO!$B$1:M$100112,11,0)))</f>
        <v/>
      </c>
      <c r="K28" s="172" t="str">
        <f>IF(A28="","",IF(A28="","",IF(A28="","",VLOOKUP(A28,CALCULO!$B$1:M$100112,10,0))))</f>
        <v/>
      </c>
      <c r="L28" s="172" t="str">
        <f>IF(A28="","",IF(A28="","",VLOOKUP(A28,CALCULO!$B$1:M$100112,9,0)))</f>
        <v/>
      </c>
      <c r="M28" s="173" t="str">
        <f t="shared" si="2"/>
        <v/>
      </c>
      <c r="O28" s="150"/>
      <c r="P28" s="151" t="s">
        <v>72</v>
      </c>
      <c r="Q28" s="150"/>
      <c r="R28" s="144"/>
    </row>
    <row r="29" spans="1:18" s="7" customFormat="1" ht="18" customHeight="1" x14ac:dyDescent="0.25">
      <c r="A29" s="167"/>
      <c r="B29" s="168" t="str">
        <f>IF(A29="","",VLOOKUP(A29,CALCULO!$B$1:M$100112,2,0))</f>
        <v/>
      </c>
      <c r="C29" s="169"/>
      <c r="D29" s="170" t="str">
        <f>IF(A29="","",VLOOKUP(A29,CALCULO!$B$1:M$100112,4,0))</f>
        <v/>
      </c>
      <c r="E29" s="169"/>
      <c r="F29" s="169" t="s">
        <v>162</v>
      </c>
      <c r="G29" s="169"/>
      <c r="H29" s="171">
        <f t="shared" si="4"/>
        <v>0</v>
      </c>
      <c r="I29" s="172" t="str">
        <f t="shared" si="1"/>
        <v/>
      </c>
      <c r="J29" s="172" t="str">
        <f>IF(A29="","",IF(A29="","",VLOOKUP(A29,CALCULO!$B$1:M$100112,11,0)))</f>
        <v/>
      </c>
      <c r="K29" s="172" t="str">
        <f>IF(A29="","",IF(A29="","",IF(A29="","",VLOOKUP(A29,CALCULO!$B$1:M$100112,10,0))))</f>
        <v/>
      </c>
      <c r="L29" s="172" t="str">
        <f>IF(A29="","",IF(A29="","",VLOOKUP(A29,CALCULO!$B$1:M$100112,9,0)))</f>
        <v/>
      </c>
      <c r="M29" s="173" t="str">
        <f t="shared" si="2"/>
        <v/>
      </c>
      <c r="O29" s="150"/>
      <c r="P29" s="151" t="s">
        <v>72</v>
      </c>
      <c r="Q29" s="150"/>
      <c r="R29" s="144"/>
    </row>
    <row r="30" spans="1:18" s="7" customFormat="1" ht="18" customHeight="1" x14ac:dyDescent="0.25">
      <c r="A30" s="167"/>
      <c r="B30" s="168" t="str">
        <f>IF(A30="","",VLOOKUP(A30,CALCULO!$B$1:M$100112,2,0))</f>
        <v/>
      </c>
      <c r="C30" s="169"/>
      <c r="D30" s="170" t="str">
        <f>IF(A30="","",VLOOKUP(A30,CALCULO!$B$1:M$100112,4,0))</f>
        <v/>
      </c>
      <c r="E30" s="169"/>
      <c r="F30" s="169" t="s">
        <v>162</v>
      </c>
      <c r="G30" s="169"/>
      <c r="H30" s="171">
        <f t="shared" si="4"/>
        <v>0</v>
      </c>
      <c r="I30" s="172" t="str">
        <f t="shared" si="1"/>
        <v/>
      </c>
      <c r="J30" s="172" t="str">
        <f>IF(A30="","",IF(A30="","",VLOOKUP(A30,CALCULO!$B$1:M$100112,11,0)))</f>
        <v/>
      </c>
      <c r="K30" s="172" t="str">
        <f>IF(A30="","",IF(A30="","",IF(A30="","",VLOOKUP(A30,CALCULO!$B$1:M$100112,10,0))))</f>
        <v/>
      </c>
      <c r="L30" s="172" t="str">
        <f>IF(A30="","",IF(A30="","",VLOOKUP(A30,CALCULO!$B$1:M$100112,9,0)))</f>
        <v/>
      </c>
      <c r="M30" s="173" t="str">
        <f t="shared" si="2"/>
        <v/>
      </c>
      <c r="O30" s="150"/>
      <c r="P30" s="151" t="s">
        <v>72</v>
      </c>
      <c r="Q30" s="150"/>
      <c r="R30" s="144"/>
    </row>
    <row r="31" spans="1:18" s="7" customFormat="1" ht="18" customHeight="1" x14ac:dyDescent="0.25">
      <c r="A31" s="167"/>
      <c r="B31" s="168" t="str">
        <f>IF(A31="","",VLOOKUP(A31,CALCULO!$B$1:M$100112,2,0))</f>
        <v/>
      </c>
      <c r="C31" s="169"/>
      <c r="D31" s="170" t="str">
        <f>IF(A31="","",VLOOKUP(A31,CALCULO!$B$1:M$100112,4,0))</f>
        <v/>
      </c>
      <c r="E31" s="169"/>
      <c r="F31" s="169" t="s">
        <v>162</v>
      </c>
      <c r="G31" s="169"/>
      <c r="H31" s="171">
        <f t="shared" si="4"/>
        <v>0</v>
      </c>
      <c r="I31" s="172" t="str">
        <f t="shared" si="1"/>
        <v/>
      </c>
      <c r="J31" s="172" t="str">
        <f>IF(A31="","",IF(A31="","",VLOOKUP(A31,CALCULO!$B$1:M$100112,11,0)))</f>
        <v/>
      </c>
      <c r="K31" s="172" t="str">
        <f>IF(A31="","",IF(A31="","",IF(A31="","",VLOOKUP(A31,CALCULO!$B$1:M$100112,10,0))))</f>
        <v/>
      </c>
      <c r="L31" s="172" t="str">
        <f>IF(A31="","",IF(A31="","",VLOOKUP(A31,CALCULO!$B$1:M$100112,9,0)))</f>
        <v/>
      </c>
      <c r="M31" s="173" t="str">
        <f t="shared" si="2"/>
        <v/>
      </c>
      <c r="O31" s="150"/>
      <c r="P31" s="151" t="s">
        <v>72</v>
      </c>
      <c r="Q31" s="150"/>
      <c r="R31" s="144"/>
    </row>
    <row r="32" spans="1:18" s="7" customFormat="1" ht="18" customHeight="1" x14ac:dyDescent="0.25">
      <c r="A32" s="167"/>
      <c r="B32" s="168" t="str">
        <f>IF(A32="","",VLOOKUP(A32,CALCULO!$B$1:M$100112,2,0))</f>
        <v/>
      </c>
      <c r="C32" s="169"/>
      <c r="D32" s="170" t="str">
        <f>IF(A32="","",VLOOKUP(A32,CALCULO!$B$1:M$100112,4,0))</f>
        <v/>
      </c>
      <c r="E32" s="169"/>
      <c r="F32" s="169" t="s">
        <v>162</v>
      </c>
      <c r="G32" s="169"/>
      <c r="H32" s="171">
        <f t="shared" ref="H32:H35" si="5">O32*Q32*C32</f>
        <v>0</v>
      </c>
      <c r="I32" s="172" t="str">
        <f t="shared" si="1"/>
        <v/>
      </c>
      <c r="J32" s="172" t="str">
        <f>IF(A32="","",IF(A32="","",VLOOKUP(A32,CALCULO!$B$1:M$100112,11,0)))</f>
        <v/>
      </c>
      <c r="K32" s="172" t="str">
        <f>IF(A32="","",IF(A32="","",IF(A32="","",VLOOKUP(A32,CALCULO!$B$1:M$100112,10,0))))</f>
        <v/>
      </c>
      <c r="L32" s="172" t="str">
        <f>IF(A32="","",IF(A32="","",VLOOKUP(A32,CALCULO!$B$1:M$100112,9,0)))</f>
        <v/>
      </c>
      <c r="M32" s="173" t="str">
        <f t="shared" si="2"/>
        <v/>
      </c>
      <c r="O32" s="150"/>
      <c r="P32" s="151" t="s">
        <v>72</v>
      </c>
      <c r="Q32" s="150"/>
      <c r="R32" s="144"/>
    </row>
    <row r="33" spans="1:18" s="7" customFormat="1" ht="18" customHeight="1" x14ac:dyDescent="0.25">
      <c r="A33" s="167"/>
      <c r="B33" s="168" t="str">
        <f>IF(A33="","",VLOOKUP(A33,CALCULO!$B$1:M$100112,2,0))</f>
        <v/>
      </c>
      <c r="C33" s="169"/>
      <c r="D33" s="170" t="str">
        <f>IF(A33="","",VLOOKUP(A33,CALCULO!$B$1:M$100112,4,0))</f>
        <v/>
      </c>
      <c r="E33" s="169"/>
      <c r="F33" s="169" t="s">
        <v>162</v>
      </c>
      <c r="G33" s="169"/>
      <c r="H33" s="171">
        <f t="shared" si="5"/>
        <v>0</v>
      </c>
      <c r="I33" s="172" t="str">
        <f t="shared" si="1"/>
        <v/>
      </c>
      <c r="J33" s="172" t="str">
        <f>IF(A33="","",IF(A33="","",VLOOKUP(A33,CALCULO!$B$1:M$100112,11,0)))</f>
        <v/>
      </c>
      <c r="K33" s="172" t="str">
        <f>IF(A33="","",IF(A33="","",IF(A33="","",VLOOKUP(A33,CALCULO!$B$1:M$100112,10,0))))</f>
        <v/>
      </c>
      <c r="L33" s="172" t="str">
        <f>IF(A33="","",IF(A33="","",VLOOKUP(A33,CALCULO!$B$1:M$100112,9,0)))</f>
        <v/>
      </c>
      <c r="M33" s="173" t="str">
        <f t="shared" si="2"/>
        <v/>
      </c>
      <c r="O33" s="150"/>
      <c r="P33" s="151" t="s">
        <v>72</v>
      </c>
      <c r="Q33" s="150"/>
      <c r="R33" s="144"/>
    </row>
    <row r="34" spans="1:18" s="7" customFormat="1" ht="18" customHeight="1" x14ac:dyDescent="0.25">
      <c r="A34" s="167"/>
      <c r="B34" s="168" t="str">
        <f>IF(A34="","",VLOOKUP(A34,CALCULO!$B$1:M$100112,2,0))</f>
        <v/>
      </c>
      <c r="C34" s="169"/>
      <c r="D34" s="170" t="str">
        <f>IF(A34="","",VLOOKUP(A34,CALCULO!$B$1:M$100112,4,0))</f>
        <v/>
      </c>
      <c r="E34" s="169"/>
      <c r="F34" s="169" t="s">
        <v>162</v>
      </c>
      <c r="G34" s="169"/>
      <c r="H34" s="171">
        <f t="shared" si="5"/>
        <v>0</v>
      </c>
      <c r="I34" s="172" t="str">
        <f t="shared" si="1"/>
        <v/>
      </c>
      <c r="J34" s="172" t="str">
        <f>IF(A34="","",IF(A34="","",VLOOKUP(A34,CALCULO!$B$1:M$100112,11,0)))</f>
        <v/>
      </c>
      <c r="K34" s="172" t="str">
        <f>IF(A34="","",IF(A34="","",IF(A34="","",VLOOKUP(A34,CALCULO!$B$1:M$100112,10,0))))</f>
        <v/>
      </c>
      <c r="L34" s="172" t="str">
        <f>IF(A34="","",IF(A34="","",VLOOKUP(A34,CALCULO!$B$1:M$100112,9,0)))</f>
        <v/>
      </c>
      <c r="M34" s="173" t="str">
        <f t="shared" si="2"/>
        <v/>
      </c>
      <c r="O34" s="150"/>
      <c r="P34" s="151" t="s">
        <v>72</v>
      </c>
      <c r="Q34" s="150"/>
      <c r="R34" s="144"/>
    </row>
    <row r="35" spans="1:18" s="7" customFormat="1" ht="18" customHeight="1" x14ac:dyDescent="0.25">
      <c r="A35" s="167"/>
      <c r="B35" s="168" t="str">
        <f>IF(A35="","",VLOOKUP(A35,CALCULO!$B$1:M$100112,2,0))</f>
        <v/>
      </c>
      <c r="C35" s="169"/>
      <c r="D35" s="170" t="str">
        <f>IF(A35="","",VLOOKUP(A35,CALCULO!$B$1:M$100112,4,0))</f>
        <v/>
      </c>
      <c r="E35" s="169"/>
      <c r="F35" s="169" t="s">
        <v>162</v>
      </c>
      <c r="G35" s="169"/>
      <c r="H35" s="171">
        <f t="shared" si="5"/>
        <v>0</v>
      </c>
      <c r="I35" s="172" t="str">
        <f t="shared" si="1"/>
        <v/>
      </c>
      <c r="J35" s="172" t="str">
        <f>IF(A35="","",IF(A35="","",VLOOKUP(A35,CALCULO!$B$1:M$100112,11,0)))</f>
        <v/>
      </c>
      <c r="K35" s="172" t="str">
        <f>IF(A35="","",IF(A35="","",IF(A35="","",VLOOKUP(A35,CALCULO!$B$1:M$100112,10,0))))</f>
        <v/>
      </c>
      <c r="L35" s="172" t="str">
        <f>IF(A35="","",IF(A35="","",VLOOKUP(A35,CALCULO!$B$1:M$100112,9,0)))</f>
        <v/>
      </c>
      <c r="M35" s="173" t="str">
        <f t="shared" ref="M35" si="6">IF(O35="","",(K35*O35*C35)+(J35*C35)+(H35*L35)+R35)</f>
        <v/>
      </c>
      <c r="O35" s="150"/>
      <c r="P35" s="151" t="s">
        <v>72</v>
      </c>
      <c r="Q35" s="150"/>
      <c r="R35" s="144"/>
    </row>
    <row r="36" spans="1:18" s="7" customFormat="1" ht="18" customHeight="1" x14ac:dyDescent="0.25">
      <c r="A36" s="167"/>
      <c r="B36" s="168" t="str">
        <f>IF(A36="","",VLOOKUP(A36,CALCULO!$B$1:M$100112,2,0))</f>
        <v/>
      </c>
      <c r="C36" s="169"/>
      <c r="D36" s="170" t="str">
        <f>IF(A36="","",VLOOKUP(A36,CALCULO!$B$1:M$100112,4,0))</f>
        <v/>
      </c>
      <c r="E36" s="169"/>
      <c r="F36" s="169" t="s">
        <v>162</v>
      </c>
      <c r="G36" s="169"/>
      <c r="H36" s="171">
        <f t="shared" si="0"/>
        <v>0</v>
      </c>
      <c r="I36" s="172" t="str">
        <f t="shared" si="1"/>
        <v/>
      </c>
      <c r="J36" s="172" t="str">
        <f>IF(A36="","",IF(A36="","",VLOOKUP(A36,CALCULO!$B$1:M$100112,11,0)))</f>
        <v/>
      </c>
      <c r="K36" s="172" t="str">
        <f>IF(A36="","",IF(A36="","",IF(A36="","",VLOOKUP(A36,CALCULO!$B$1:M$100112,10,0))))</f>
        <v/>
      </c>
      <c r="L36" s="172" t="str">
        <f>IF(A36="","",IF(A36="","",VLOOKUP(A36,CALCULO!$B$1:M$100112,9,0)))</f>
        <v/>
      </c>
      <c r="M36" s="173" t="str">
        <f t="shared" si="2"/>
        <v/>
      </c>
      <c r="O36" s="150"/>
      <c r="P36" s="151" t="s">
        <v>72</v>
      </c>
      <c r="Q36" s="150"/>
      <c r="R36" s="144"/>
    </row>
    <row r="37" spans="1:18" ht="15" customHeight="1" x14ac:dyDescent="0.2">
      <c r="A37" s="174"/>
      <c r="B37" s="17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48"/>
    </row>
    <row r="38" spans="1:18" ht="27" customHeight="1" x14ac:dyDescent="0.25">
      <c r="A38" s="220" t="s">
        <v>7</v>
      </c>
      <c r="B38" s="221"/>
      <c r="C38" s="221"/>
      <c r="D38" s="221"/>
      <c r="E38" s="221"/>
      <c r="F38" s="221"/>
      <c r="G38" s="221"/>
      <c r="H38" s="221"/>
      <c r="I38" s="221"/>
      <c r="J38" s="176"/>
      <c r="K38" s="176"/>
      <c r="L38" s="176"/>
      <c r="M38" s="177">
        <f>SUM(M14:M36)</f>
        <v>0</v>
      </c>
    </row>
    <row r="39" spans="1:18" ht="31.9" customHeight="1" x14ac:dyDescent="0.3">
      <c r="A39" s="218" t="s">
        <v>175</v>
      </c>
      <c r="B39" s="219"/>
      <c r="C39" s="219"/>
      <c r="D39" s="219"/>
      <c r="E39" s="219"/>
      <c r="F39" s="219"/>
      <c r="G39" s="219"/>
      <c r="H39" s="219"/>
      <c r="I39" s="219"/>
      <c r="J39" s="178"/>
      <c r="K39" s="178"/>
      <c r="L39" s="178"/>
      <c r="M39" s="177"/>
    </row>
    <row r="40" spans="1:18" ht="15" customHeight="1" x14ac:dyDescent="0.2">
      <c r="A40" s="222" t="s">
        <v>8</v>
      </c>
      <c r="B40" s="223"/>
      <c r="C40" s="212"/>
      <c r="D40" s="213"/>
      <c r="E40" s="213"/>
      <c r="F40" s="213"/>
      <c r="G40" s="213"/>
      <c r="H40" s="213"/>
      <c r="I40" s="213"/>
      <c r="J40" s="213"/>
      <c r="K40" s="213"/>
      <c r="L40" s="213"/>
      <c r="M40" s="214"/>
    </row>
    <row r="41" spans="1:18" ht="41.25" customHeight="1" x14ac:dyDescent="0.2">
      <c r="A41" s="224"/>
      <c r="B41" s="225"/>
      <c r="C41" s="215"/>
      <c r="D41" s="216"/>
      <c r="E41" s="216"/>
      <c r="F41" s="216"/>
      <c r="G41" s="216"/>
      <c r="H41" s="216"/>
      <c r="I41" s="216"/>
      <c r="J41" s="216"/>
      <c r="K41" s="216"/>
      <c r="L41" s="216"/>
      <c r="M41" s="217"/>
    </row>
    <row r="42" spans="1:18" ht="30" customHeight="1" x14ac:dyDescent="0.4">
      <c r="A42" s="202"/>
      <c r="B42" s="203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5"/>
    </row>
    <row r="43" spans="1:18" ht="10.5" customHeight="1" x14ac:dyDescent="0.2">
      <c r="A43" s="179"/>
      <c r="B43" s="2"/>
      <c r="C43" s="11"/>
      <c r="D43" s="1"/>
      <c r="E43" s="2"/>
      <c r="F43" s="2"/>
      <c r="G43" s="2"/>
      <c r="H43" s="180"/>
      <c r="I43" s="1"/>
      <c r="J43" s="1"/>
      <c r="K43" s="1"/>
      <c r="L43" s="1"/>
      <c r="M43" s="8"/>
    </row>
    <row r="44" spans="1:18" x14ac:dyDescent="0.2">
      <c r="C44"/>
      <c r="D44" s="62"/>
      <c r="E44" s="62"/>
      <c r="F44" s="62"/>
      <c r="G44" s="181"/>
      <c r="H44"/>
      <c r="I44"/>
      <c r="J44"/>
      <c r="K44"/>
      <c r="L44"/>
      <c r="M44"/>
      <c r="O44"/>
      <c r="P44"/>
      <c r="Q44"/>
      <c r="R44"/>
    </row>
    <row r="45" spans="1:18" x14ac:dyDescent="0.2">
      <c r="C45"/>
      <c r="D45" s="62"/>
      <c r="E45" s="62"/>
      <c r="F45" s="62"/>
      <c r="G45" s="181"/>
      <c r="H45"/>
      <c r="I45"/>
      <c r="J45"/>
      <c r="K45"/>
      <c r="L45"/>
      <c r="M45"/>
      <c r="O45"/>
      <c r="P45"/>
      <c r="Q45"/>
      <c r="R45"/>
    </row>
    <row r="46" spans="1:18" x14ac:dyDescent="0.2">
      <c r="A46" s="182"/>
      <c r="B46" s="17"/>
      <c r="C46"/>
      <c r="D46" s="62"/>
      <c r="E46" s="62"/>
      <c r="F46" s="62"/>
      <c r="G46" s="181"/>
      <c r="H46"/>
      <c r="I46"/>
      <c r="J46"/>
      <c r="K46"/>
      <c r="L46"/>
      <c r="M46"/>
      <c r="O46"/>
      <c r="P46"/>
      <c r="Q46"/>
      <c r="R46"/>
    </row>
    <row r="47" spans="1:18" ht="18" x14ac:dyDescent="0.25">
      <c r="A47" s="189" t="s">
        <v>92</v>
      </c>
      <c r="B47" s="190"/>
      <c r="C47"/>
      <c r="D47" s="62"/>
      <c r="E47" s="62"/>
      <c r="F47" s="62"/>
      <c r="G47" s="181"/>
      <c r="H47"/>
      <c r="I47"/>
      <c r="J47"/>
      <c r="K47"/>
      <c r="L47"/>
      <c r="M47"/>
      <c r="O47"/>
      <c r="P47"/>
      <c r="Q47"/>
      <c r="R47"/>
    </row>
    <row r="48" spans="1:18" ht="18" x14ac:dyDescent="0.25">
      <c r="A48" s="189"/>
      <c r="B48" s="190"/>
      <c r="C48"/>
      <c r="D48" s="62"/>
      <c r="E48" s="62"/>
      <c r="F48" s="62"/>
      <c r="G48" s="181"/>
      <c r="H48"/>
      <c r="I48"/>
      <c r="J48"/>
      <c r="K48"/>
      <c r="L48"/>
      <c r="M48"/>
      <c r="O48"/>
      <c r="P48"/>
      <c r="Q48"/>
      <c r="R48"/>
    </row>
    <row r="49" spans="4:7" customFormat="1" x14ac:dyDescent="0.2">
      <c r="D49" s="62"/>
      <c r="E49" s="62"/>
      <c r="F49" s="62"/>
      <c r="G49" s="32"/>
    </row>
    <row r="50" spans="4:7" customFormat="1" x14ac:dyDescent="0.2">
      <c r="D50" s="62"/>
      <c r="E50" s="62"/>
      <c r="F50" s="62"/>
      <c r="G50" s="32"/>
    </row>
    <row r="51" spans="4:7" customFormat="1" x14ac:dyDescent="0.2">
      <c r="D51" s="62"/>
      <c r="E51" s="62"/>
      <c r="F51" s="62"/>
      <c r="G51" s="32"/>
    </row>
    <row r="52" spans="4:7" customFormat="1" x14ac:dyDescent="0.2">
      <c r="D52" s="62"/>
      <c r="E52" s="62"/>
      <c r="F52" s="62"/>
      <c r="G52" s="32"/>
    </row>
    <row r="53" spans="4:7" customFormat="1" x14ac:dyDescent="0.2">
      <c r="D53" s="62"/>
      <c r="E53" s="62"/>
      <c r="F53" s="62"/>
      <c r="G53" s="32"/>
    </row>
  </sheetData>
  <mergeCells count="21">
    <mergeCell ref="C2:M2"/>
    <mergeCell ref="C3:M3"/>
    <mergeCell ref="C4:M4"/>
    <mergeCell ref="A5:M5"/>
    <mergeCell ref="C6:E6"/>
    <mergeCell ref="F6:M6"/>
    <mergeCell ref="F7:M7"/>
    <mergeCell ref="F8:M8"/>
    <mergeCell ref="G9:M9"/>
    <mergeCell ref="A48:B48"/>
    <mergeCell ref="A47:B47"/>
    <mergeCell ref="A42:M42"/>
    <mergeCell ref="C7:E7"/>
    <mergeCell ref="C8:E8"/>
    <mergeCell ref="A11:M11"/>
    <mergeCell ref="A13:M13"/>
    <mergeCell ref="C40:M41"/>
    <mergeCell ref="A39:I39"/>
    <mergeCell ref="A38:I38"/>
    <mergeCell ref="A40:B41"/>
    <mergeCell ref="C9:F9"/>
  </mergeCells>
  <phoneticPr fontId="18" type="noConversion"/>
  <pageMargins left="0.39370078740157483" right="0.39370078740157483" top="0.59055118110236227" bottom="0.19685039370078741" header="0.31496062992125984" footer="0.31496062992125984"/>
  <pageSetup paperSize="9" scale="7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9"/>
  <sheetViews>
    <sheetView workbookViewId="0">
      <pane ySplit="2" topLeftCell="A7" activePane="bottomLeft" state="frozen"/>
      <selection activeCell="K1" sqref="K1"/>
      <selection pane="bottomLeft" activeCell="D3" sqref="D3:D7"/>
    </sheetView>
  </sheetViews>
  <sheetFormatPr defaultRowHeight="12.75" x14ac:dyDescent="0.2"/>
  <cols>
    <col min="1" max="1" width="11.85546875" bestFit="1" customWidth="1"/>
    <col min="2" max="2" width="35.5703125" bestFit="1" customWidth="1"/>
    <col min="3" max="3" width="8.140625" bestFit="1" customWidth="1"/>
    <col min="4" max="4" width="7.85546875" customWidth="1"/>
    <col min="5" max="5" width="10.42578125" bestFit="1" customWidth="1"/>
    <col min="6" max="6" width="2.28515625" bestFit="1" customWidth="1"/>
    <col min="7" max="7" width="10.42578125" bestFit="1" customWidth="1"/>
    <col min="8" max="8" width="13" customWidth="1"/>
    <col min="9" max="9" width="11.7109375" customWidth="1"/>
    <col min="10" max="10" width="13" customWidth="1"/>
    <col min="11" max="11" width="19.85546875" style="6" bestFit="1" customWidth="1"/>
    <col min="12" max="12" width="18.28515625" style="6" bestFit="1" customWidth="1"/>
    <col min="13" max="13" width="19.85546875" bestFit="1" customWidth="1"/>
  </cols>
  <sheetData>
    <row r="1" spans="1:13" ht="33" customHeight="1" x14ac:dyDescent="0.2">
      <c r="A1" s="226" t="s">
        <v>161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8"/>
    </row>
    <row r="2" spans="1:13" ht="15.75" x14ac:dyDescent="0.2">
      <c r="A2" s="132" t="s">
        <v>159</v>
      </c>
      <c r="B2" s="133" t="s">
        <v>1</v>
      </c>
      <c r="C2" s="133" t="s">
        <v>52</v>
      </c>
      <c r="D2" s="133" t="s">
        <v>9</v>
      </c>
      <c r="E2" s="133" t="s">
        <v>54</v>
      </c>
      <c r="F2" s="133" t="s">
        <v>72</v>
      </c>
      <c r="G2" s="133" t="s">
        <v>160</v>
      </c>
      <c r="H2" s="133" t="s">
        <v>85</v>
      </c>
      <c r="I2" s="133" t="s">
        <v>86</v>
      </c>
      <c r="J2" s="133" t="s">
        <v>87</v>
      </c>
      <c r="K2" s="134" t="s">
        <v>6</v>
      </c>
      <c r="L2" s="134" t="s">
        <v>51</v>
      </c>
      <c r="M2" s="135" t="s">
        <v>50</v>
      </c>
    </row>
    <row r="3" spans="1:13" ht="16.5" x14ac:dyDescent="0.2">
      <c r="A3" s="125" t="str">
        <f>IF(ORÇ!A14="","",ORÇ!A14)</f>
        <v/>
      </c>
      <c r="B3" s="126" t="str">
        <f>IF(A3="","",VLOOKUP(A3,CALCULO!$B$1:M$100112,2,0))</f>
        <v/>
      </c>
      <c r="C3" s="125" t="str">
        <f>IF(A3="","",ORÇ!C14)</f>
        <v/>
      </c>
      <c r="D3" s="127" t="str">
        <f>IF(C3="","",ORÇ!H14)</f>
        <v/>
      </c>
      <c r="E3" s="128" t="str">
        <f>IF(C3="","",ORÇ!O14)</f>
        <v/>
      </c>
      <c r="F3" s="128" t="s">
        <v>72</v>
      </c>
      <c r="G3" s="128" t="str">
        <f>IF(C3="","",ORÇ!Q14)</f>
        <v/>
      </c>
      <c r="H3" s="129" t="str">
        <f>ORÇ!J14</f>
        <v/>
      </c>
      <c r="I3" s="129" t="str">
        <f>ORÇ!K14</f>
        <v/>
      </c>
      <c r="J3" s="129" t="str">
        <f>ORÇ!L14</f>
        <v/>
      </c>
      <c r="K3" s="130" t="str">
        <f>ORÇ!M14</f>
        <v/>
      </c>
      <c r="L3" s="131" t="e">
        <f>IF(A3="","",VLOOKUP(A3,CALCULO!$B$1:AA$100112,15,0))*(E3*G3*C3)+(H3*C3)+(I3*E3)</f>
        <v>#VALUE!</v>
      </c>
      <c r="M3" s="129" t="str">
        <f t="shared" ref="M3:M25" si="0">IF(A3="","",K3-L3)</f>
        <v/>
      </c>
    </row>
    <row r="4" spans="1:13" ht="16.5" x14ac:dyDescent="0.2">
      <c r="A4" s="113" t="str">
        <f>IF(ORÇ!A15="","",ORÇ!A15)</f>
        <v/>
      </c>
      <c r="B4" s="114" t="str">
        <f>IF(A4="","",VLOOKUP(A4,CALCULO!$B$1:M$100112,2,0))</f>
        <v/>
      </c>
      <c r="C4" s="113" t="str">
        <f>IF(A4="","",ORÇ!C15)</f>
        <v/>
      </c>
      <c r="D4" s="115" t="str">
        <f>IF(C4="","",ORÇ!H15)</f>
        <v/>
      </c>
      <c r="E4" s="116" t="str">
        <f>IF(C4="","",ORÇ!O15)</f>
        <v/>
      </c>
      <c r="F4" s="116" t="s">
        <v>72</v>
      </c>
      <c r="G4" s="116" t="str">
        <f>IF(C4="","",ORÇ!Q15)</f>
        <v/>
      </c>
      <c r="H4" s="117" t="str">
        <f>ORÇ!J15</f>
        <v/>
      </c>
      <c r="I4" s="117" t="str">
        <f>ORÇ!K15</f>
        <v/>
      </c>
      <c r="J4" s="117" t="str">
        <f>ORÇ!L15</f>
        <v/>
      </c>
      <c r="K4" s="118" t="str">
        <f>ORÇ!M15</f>
        <v/>
      </c>
      <c r="L4" s="119" t="e">
        <f>IF(A4="","",VLOOKUP(A4,CALCULO!$B$1:AA$100112,15,0))*(E4*G4*C4)+(H4*C4)+(I4*E4)</f>
        <v>#VALUE!</v>
      </c>
      <c r="M4" s="117" t="str">
        <f t="shared" si="0"/>
        <v/>
      </c>
    </row>
    <row r="5" spans="1:13" ht="16.5" x14ac:dyDescent="0.2">
      <c r="A5" s="113" t="str">
        <f>IF(ORÇ!A16="","",ORÇ!A16)</f>
        <v/>
      </c>
      <c r="B5" s="114" t="str">
        <f>IF(A5="","",VLOOKUP(A5,CALCULO!$B$1:M$100112,2,0))</f>
        <v/>
      </c>
      <c r="C5" s="113" t="str">
        <f>IF(A5="","",ORÇ!C16)</f>
        <v/>
      </c>
      <c r="D5" s="115" t="str">
        <f>IF(C5="","",ORÇ!H16)</f>
        <v/>
      </c>
      <c r="E5" s="116" t="str">
        <f>IF(C5="","",ORÇ!O16)</f>
        <v/>
      </c>
      <c r="F5" s="116" t="s">
        <v>72</v>
      </c>
      <c r="G5" s="116" t="str">
        <f>IF(C5="","",ORÇ!Q16)</f>
        <v/>
      </c>
      <c r="H5" s="117" t="str">
        <f>ORÇ!J16</f>
        <v/>
      </c>
      <c r="I5" s="117" t="str">
        <f>ORÇ!K16</f>
        <v/>
      </c>
      <c r="J5" s="117" t="str">
        <f>ORÇ!L16</f>
        <v/>
      </c>
      <c r="K5" s="118" t="str">
        <f>ORÇ!M16</f>
        <v/>
      </c>
      <c r="L5" s="119" t="e">
        <f>IF(A5="","",VLOOKUP(A5,CALCULO!$B$1:AA$100112,15,0))*(E5*G5*C5)+(H5*C5)+(I5*E5)</f>
        <v>#VALUE!</v>
      </c>
      <c r="M5" s="117" t="str">
        <f t="shared" si="0"/>
        <v/>
      </c>
    </row>
    <row r="6" spans="1:13" ht="16.5" x14ac:dyDescent="0.2">
      <c r="A6" s="113" t="str">
        <f>IF(ORÇ!A17="","",ORÇ!A17)</f>
        <v/>
      </c>
      <c r="B6" s="114" t="str">
        <f>IF(A6="","",VLOOKUP(A6,CALCULO!$B$1:M$100112,2,0))</f>
        <v/>
      </c>
      <c r="C6" s="113" t="str">
        <f>IF(A6="","",ORÇ!C17)</f>
        <v/>
      </c>
      <c r="D6" s="115" t="str">
        <f>IF(C6="","",ORÇ!H17)</f>
        <v/>
      </c>
      <c r="E6" s="116" t="str">
        <f>IF(C6="","",ORÇ!O17)</f>
        <v/>
      </c>
      <c r="F6" s="116" t="s">
        <v>72</v>
      </c>
      <c r="G6" s="116" t="str">
        <f>IF(C6="","",ORÇ!Q17)</f>
        <v/>
      </c>
      <c r="H6" s="117" t="str">
        <f>ORÇ!J17</f>
        <v/>
      </c>
      <c r="I6" s="117" t="str">
        <f>ORÇ!K17</f>
        <v/>
      </c>
      <c r="J6" s="117" t="str">
        <f>ORÇ!L17</f>
        <v/>
      </c>
      <c r="K6" s="118" t="str">
        <f>ORÇ!M17</f>
        <v/>
      </c>
      <c r="L6" s="119" t="e">
        <f>IF(A6="","",VLOOKUP(A6,CALCULO!$B$1:AA$100112,15,0))*(E6*G6*C6)+(H6*C6)+(I6*E6)</f>
        <v>#VALUE!</v>
      </c>
      <c r="M6" s="117" t="str">
        <f t="shared" si="0"/>
        <v/>
      </c>
    </row>
    <row r="7" spans="1:13" ht="16.5" x14ac:dyDescent="0.2">
      <c r="A7" s="113" t="str">
        <f>IF(ORÇ!A18="","",ORÇ!A18)</f>
        <v/>
      </c>
      <c r="B7" s="114" t="str">
        <f>IF(A7="","",VLOOKUP(A7,CALCULO!$B$1:M$100112,2,0))</f>
        <v/>
      </c>
      <c r="C7" s="113" t="str">
        <f>IF(A7="","",ORÇ!C18)</f>
        <v/>
      </c>
      <c r="D7" s="115" t="str">
        <f>IF(C7="","",ORÇ!H18)</f>
        <v/>
      </c>
      <c r="E7" s="116" t="str">
        <f>IF(C7="","",ORÇ!O18)</f>
        <v/>
      </c>
      <c r="F7" s="116" t="s">
        <v>72</v>
      </c>
      <c r="G7" s="116" t="str">
        <f>IF(C7="","",ORÇ!Q18)</f>
        <v/>
      </c>
      <c r="H7" s="117" t="str">
        <f>ORÇ!J18</f>
        <v/>
      </c>
      <c r="I7" s="117" t="str">
        <f>ORÇ!K18</f>
        <v/>
      </c>
      <c r="J7" s="117" t="str">
        <f>ORÇ!L18</f>
        <v/>
      </c>
      <c r="K7" s="118" t="str">
        <f>ORÇ!M18</f>
        <v/>
      </c>
      <c r="L7" s="119" t="e">
        <f>IF(A7="","",VLOOKUP(A7,CALCULO!$B$1:AA$100112,15,0))*(E7*G7*C7)+(H7*C7)+(I7*E7)</f>
        <v>#VALUE!</v>
      </c>
      <c r="M7" s="117" t="str">
        <f t="shared" si="0"/>
        <v/>
      </c>
    </row>
    <row r="8" spans="1:13" ht="16.5" x14ac:dyDescent="0.2">
      <c r="A8" s="113" t="str">
        <f>IF(ORÇ!A19="","",ORÇ!A19)</f>
        <v/>
      </c>
      <c r="B8" s="114" t="str">
        <f>IF(A8="","",VLOOKUP(A8,CALCULO!$B$1:M$100112,2,0))</f>
        <v/>
      </c>
      <c r="C8" s="113" t="str">
        <f>IF(A8="","",ORÇ!C19)</f>
        <v/>
      </c>
      <c r="D8" s="115" t="str">
        <f>IF(C8="","",ORÇ!H19)</f>
        <v/>
      </c>
      <c r="E8" s="116" t="str">
        <f>IF(C8="","",ORÇ!O19)</f>
        <v/>
      </c>
      <c r="F8" s="116" t="s">
        <v>72</v>
      </c>
      <c r="G8" s="116" t="str">
        <f>IF(C8="","",ORÇ!Q19)</f>
        <v/>
      </c>
      <c r="H8" s="117" t="str">
        <f>ORÇ!J19</f>
        <v/>
      </c>
      <c r="I8" s="117" t="str">
        <f>ORÇ!K19</f>
        <v/>
      </c>
      <c r="J8" s="117" t="str">
        <f>ORÇ!L19</f>
        <v/>
      </c>
      <c r="K8" s="118" t="str">
        <f>ORÇ!M19</f>
        <v/>
      </c>
      <c r="L8" s="119" t="e">
        <f>IF(A8="","",VLOOKUP(A8,CALCULO!$B$1:AA$100112,15,0))*(E8*G8*C8)+(H8*C8)+(I8*E8)</f>
        <v>#VALUE!</v>
      </c>
      <c r="M8" s="117" t="str">
        <f t="shared" si="0"/>
        <v/>
      </c>
    </row>
    <row r="9" spans="1:13" ht="16.5" x14ac:dyDescent="0.2">
      <c r="A9" s="113" t="str">
        <f>IF(ORÇ!A20="","",ORÇ!A20)</f>
        <v/>
      </c>
      <c r="B9" s="114" t="str">
        <f>IF(A9="","",VLOOKUP(A9,CALCULO!$B$1:M$100112,2,0))</f>
        <v/>
      </c>
      <c r="C9" s="113" t="str">
        <f>IF(A9="","",ORÇ!C20)</f>
        <v/>
      </c>
      <c r="D9" s="115" t="str">
        <f>IF(C9="","",ORÇ!H20)</f>
        <v/>
      </c>
      <c r="E9" s="116" t="str">
        <f>IF(C9="","",ORÇ!O20)</f>
        <v/>
      </c>
      <c r="F9" s="116" t="s">
        <v>72</v>
      </c>
      <c r="G9" s="116" t="str">
        <f>IF(C9="","",ORÇ!Q20)</f>
        <v/>
      </c>
      <c r="H9" s="117" t="str">
        <f>ORÇ!J20</f>
        <v/>
      </c>
      <c r="I9" s="117" t="str">
        <f>ORÇ!K20</f>
        <v/>
      </c>
      <c r="J9" s="117" t="str">
        <f>ORÇ!L20</f>
        <v/>
      </c>
      <c r="K9" s="118" t="str">
        <f>ORÇ!M20</f>
        <v/>
      </c>
      <c r="L9" s="119" t="e">
        <f>IF(A9="","",VLOOKUP(A9,CALCULO!$B$1:AA$100112,15,0))*(E9*G9*C9)+(H9*C9)+(I9*E9)</f>
        <v>#VALUE!</v>
      </c>
      <c r="M9" s="117" t="str">
        <f t="shared" si="0"/>
        <v/>
      </c>
    </row>
    <row r="10" spans="1:13" ht="16.5" x14ac:dyDescent="0.2">
      <c r="A10" s="113" t="str">
        <f>IF(ORÇ!A21="","",ORÇ!A21)</f>
        <v/>
      </c>
      <c r="B10" s="114" t="str">
        <f>IF(A10="","",VLOOKUP(A10,CALCULO!$B$1:M$100112,2,0))</f>
        <v/>
      </c>
      <c r="C10" s="113" t="str">
        <f>IF(A10="","",ORÇ!C21)</f>
        <v/>
      </c>
      <c r="D10" s="115" t="str">
        <f>IF(C10="","",ORÇ!H21)</f>
        <v/>
      </c>
      <c r="E10" s="116" t="str">
        <f>IF(C10="","",ORÇ!O21)</f>
        <v/>
      </c>
      <c r="F10" s="116" t="s">
        <v>72</v>
      </c>
      <c r="G10" s="116" t="str">
        <f>IF(C10="","",ORÇ!Q21)</f>
        <v/>
      </c>
      <c r="H10" s="117" t="str">
        <f>ORÇ!J21</f>
        <v/>
      </c>
      <c r="I10" s="117" t="str">
        <f>ORÇ!K21</f>
        <v/>
      </c>
      <c r="J10" s="117" t="str">
        <f>ORÇ!L21</f>
        <v/>
      </c>
      <c r="K10" s="118" t="str">
        <f>ORÇ!M21</f>
        <v/>
      </c>
      <c r="L10" s="119" t="e">
        <f>IF(A10="","",VLOOKUP(A10,CALCULO!$B$1:AA$100112,15,0))*(E10*G10*C10)+(H10*C10)+(I10*E10)</f>
        <v>#VALUE!</v>
      </c>
      <c r="M10" s="117" t="str">
        <f t="shared" ref="M10:M24" si="1">IF(A10="","",K10-L10)</f>
        <v/>
      </c>
    </row>
    <row r="11" spans="1:13" ht="16.5" x14ac:dyDescent="0.2">
      <c r="A11" s="113" t="str">
        <f>IF(ORÇ!A22="","",ORÇ!A22)</f>
        <v/>
      </c>
      <c r="B11" s="114" t="str">
        <f>IF(A11="","",VLOOKUP(A11,CALCULO!$B$1:M$100112,2,0))</f>
        <v/>
      </c>
      <c r="C11" s="113" t="str">
        <f>IF(A11="","",ORÇ!C22)</f>
        <v/>
      </c>
      <c r="D11" s="115" t="str">
        <f>IF(C11="","",ORÇ!H22)</f>
        <v/>
      </c>
      <c r="E11" s="116" t="str">
        <f>IF(C11="","",ORÇ!O22)</f>
        <v/>
      </c>
      <c r="F11" s="116" t="s">
        <v>72</v>
      </c>
      <c r="G11" s="116" t="str">
        <f>IF(C11="","",ORÇ!Q22)</f>
        <v/>
      </c>
      <c r="H11" s="117" t="str">
        <f>ORÇ!J22</f>
        <v/>
      </c>
      <c r="I11" s="117" t="str">
        <f>ORÇ!K22</f>
        <v/>
      </c>
      <c r="J11" s="117" t="str">
        <f>ORÇ!L22</f>
        <v/>
      </c>
      <c r="K11" s="118" t="str">
        <f>ORÇ!M22</f>
        <v/>
      </c>
      <c r="L11" s="119" t="e">
        <f>IF(A11="","",VLOOKUP(A11,CALCULO!$B$1:AA$100112,15,0))*(E11*G11*C11)+(H11*C11)+(I11*E11)</f>
        <v>#VALUE!</v>
      </c>
      <c r="M11" s="117" t="str">
        <f t="shared" si="1"/>
        <v/>
      </c>
    </row>
    <row r="12" spans="1:13" ht="16.5" x14ac:dyDescent="0.2">
      <c r="A12" s="113" t="str">
        <f>IF(ORÇ!A23="","",ORÇ!A23)</f>
        <v/>
      </c>
      <c r="B12" s="114" t="str">
        <f>IF(A12="","",VLOOKUP(A12,CALCULO!$B$1:M$100112,2,0))</f>
        <v/>
      </c>
      <c r="C12" s="113" t="str">
        <f>IF(A12="","",ORÇ!C23)</f>
        <v/>
      </c>
      <c r="D12" s="115" t="str">
        <f>IF(C12="","",ORÇ!H23)</f>
        <v/>
      </c>
      <c r="E12" s="116" t="str">
        <f>IF(C12="","",ORÇ!O23)</f>
        <v/>
      </c>
      <c r="F12" s="116" t="s">
        <v>72</v>
      </c>
      <c r="G12" s="116" t="str">
        <f>IF(C12="","",ORÇ!Q23)</f>
        <v/>
      </c>
      <c r="H12" s="117" t="str">
        <f>ORÇ!J23</f>
        <v/>
      </c>
      <c r="I12" s="117" t="str">
        <f>ORÇ!K23</f>
        <v/>
      </c>
      <c r="J12" s="117" t="str">
        <f>ORÇ!L23</f>
        <v/>
      </c>
      <c r="K12" s="118" t="str">
        <f>ORÇ!M23</f>
        <v/>
      </c>
      <c r="L12" s="119" t="e">
        <f>IF(A12="","",VLOOKUP(A12,CALCULO!$B$1:AA$100112,15,0))*(E12*G12*C12)+(H12*C12)+(I12*E12)</f>
        <v>#VALUE!</v>
      </c>
      <c r="M12" s="117" t="str">
        <f t="shared" si="1"/>
        <v/>
      </c>
    </row>
    <row r="13" spans="1:13" ht="16.5" x14ac:dyDescent="0.2">
      <c r="A13" s="113" t="str">
        <f>IF(ORÇ!A24="","",ORÇ!A24)</f>
        <v/>
      </c>
      <c r="B13" s="114" t="str">
        <f>IF(A13="","",VLOOKUP(A13,CALCULO!$B$1:M$100112,2,0))</f>
        <v/>
      </c>
      <c r="C13" s="113" t="str">
        <f>IF(A13="","",ORÇ!C24)</f>
        <v/>
      </c>
      <c r="D13" s="115" t="str">
        <f>IF(C13="","",ORÇ!H24)</f>
        <v/>
      </c>
      <c r="E13" s="116" t="str">
        <f>IF(C13="","",ORÇ!O24)</f>
        <v/>
      </c>
      <c r="F13" s="116" t="s">
        <v>72</v>
      </c>
      <c r="G13" s="116" t="str">
        <f>IF(C13="","",ORÇ!Q24)</f>
        <v/>
      </c>
      <c r="H13" s="117" t="str">
        <f>ORÇ!J24</f>
        <v/>
      </c>
      <c r="I13" s="117" t="str">
        <f>ORÇ!K24</f>
        <v/>
      </c>
      <c r="J13" s="117" t="str">
        <f>ORÇ!L24</f>
        <v/>
      </c>
      <c r="K13" s="118" t="str">
        <f>ORÇ!M24</f>
        <v/>
      </c>
      <c r="L13" s="119" t="e">
        <f>IF(A13="","",VLOOKUP(A13,CALCULO!$B$1:AA$100112,15,0))*(E13*G13*C13)+(H13*C13)+(I13*E13)</f>
        <v>#VALUE!</v>
      </c>
      <c r="M13" s="117" t="str">
        <f t="shared" si="1"/>
        <v/>
      </c>
    </row>
    <row r="14" spans="1:13" ht="16.5" x14ac:dyDescent="0.2">
      <c r="A14" s="113" t="str">
        <f>IF(ORÇ!A25="","",ORÇ!A25)</f>
        <v/>
      </c>
      <c r="B14" s="114" t="str">
        <f>IF(A14="","",VLOOKUP(A14,CALCULO!$B$1:M$100112,2,0))</f>
        <v/>
      </c>
      <c r="C14" s="113" t="str">
        <f>IF(A14="","",ORÇ!C25)</f>
        <v/>
      </c>
      <c r="D14" s="115" t="str">
        <f>IF(C14="","",ORÇ!H25)</f>
        <v/>
      </c>
      <c r="E14" s="116" t="str">
        <f>IF(C14="","",ORÇ!O25)</f>
        <v/>
      </c>
      <c r="F14" s="116" t="s">
        <v>72</v>
      </c>
      <c r="G14" s="116" t="str">
        <f>IF(C14="","",ORÇ!Q25)</f>
        <v/>
      </c>
      <c r="H14" s="117" t="str">
        <f>ORÇ!J25</f>
        <v/>
      </c>
      <c r="I14" s="117" t="str">
        <f>ORÇ!K25</f>
        <v/>
      </c>
      <c r="J14" s="117" t="str">
        <f>ORÇ!L25</f>
        <v/>
      </c>
      <c r="K14" s="118" t="str">
        <f>ORÇ!M25</f>
        <v/>
      </c>
      <c r="L14" s="119" t="e">
        <f>IF(A14="","",VLOOKUP(A14,CALCULO!$B$1:AA$100112,15,0))*(E14*G14*C14)+(H14*C14)+(I14*E14)</f>
        <v>#VALUE!</v>
      </c>
      <c r="M14" s="117" t="str">
        <f t="shared" si="1"/>
        <v/>
      </c>
    </row>
    <row r="15" spans="1:13" ht="16.5" x14ac:dyDescent="0.2">
      <c r="A15" s="113" t="str">
        <f>IF(ORÇ!A26="","",ORÇ!A26)</f>
        <v/>
      </c>
      <c r="B15" s="114" t="str">
        <f>IF(A15="","",VLOOKUP(A15,CALCULO!$B$1:M$100112,2,0))</f>
        <v/>
      </c>
      <c r="C15" s="113" t="str">
        <f>IF(A15="","",ORÇ!C26)</f>
        <v/>
      </c>
      <c r="D15" s="115" t="str">
        <f>IF(C15="","",ORÇ!H26)</f>
        <v/>
      </c>
      <c r="E15" s="116" t="str">
        <f>IF(C15="","",ORÇ!O26)</f>
        <v/>
      </c>
      <c r="F15" s="116" t="s">
        <v>72</v>
      </c>
      <c r="G15" s="116" t="str">
        <f>IF(C15="","",ORÇ!Q26)</f>
        <v/>
      </c>
      <c r="H15" s="117" t="str">
        <f>ORÇ!J26</f>
        <v/>
      </c>
      <c r="I15" s="117" t="str">
        <f>ORÇ!K26</f>
        <v/>
      </c>
      <c r="J15" s="117" t="str">
        <f>ORÇ!L26</f>
        <v/>
      </c>
      <c r="K15" s="118" t="str">
        <f>ORÇ!M26</f>
        <v/>
      </c>
      <c r="L15" s="119" t="e">
        <f>IF(A15="","",VLOOKUP(A15,CALCULO!$B$1:AA$100112,15,0))*(E15*G15*C15)+(H15*C15)+(I15*E15)</f>
        <v>#VALUE!</v>
      </c>
      <c r="M15" s="117" t="str">
        <f t="shared" si="1"/>
        <v/>
      </c>
    </row>
    <row r="16" spans="1:13" ht="16.5" x14ac:dyDescent="0.2">
      <c r="A16" s="113" t="str">
        <f>IF(ORÇ!A27="","",ORÇ!A27)</f>
        <v/>
      </c>
      <c r="B16" s="114" t="str">
        <f>IF(A16="","",VLOOKUP(A16,CALCULO!$B$1:M$100112,2,0))</f>
        <v/>
      </c>
      <c r="C16" s="113" t="str">
        <f>IF(A16="","",ORÇ!C27)</f>
        <v/>
      </c>
      <c r="D16" s="115" t="str">
        <f>IF(C16="","",ORÇ!H27)</f>
        <v/>
      </c>
      <c r="E16" s="116" t="str">
        <f>IF(C16="","",ORÇ!O27)</f>
        <v/>
      </c>
      <c r="F16" s="116" t="s">
        <v>72</v>
      </c>
      <c r="G16" s="116" t="str">
        <f>IF(C16="","",ORÇ!Q27)</f>
        <v/>
      </c>
      <c r="H16" s="117" t="str">
        <f>ORÇ!J27</f>
        <v/>
      </c>
      <c r="I16" s="117" t="str">
        <f>ORÇ!K27</f>
        <v/>
      </c>
      <c r="J16" s="117" t="str">
        <f>ORÇ!L27</f>
        <v/>
      </c>
      <c r="K16" s="118" t="str">
        <f>ORÇ!M27</f>
        <v/>
      </c>
      <c r="L16" s="119" t="e">
        <f>IF(A16="","",VLOOKUP(A16,CALCULO!$B$1:AA$100112,15,0))*(E16*G16*C16)+(H16*C16)+(I16*E16)</f>
        <v>#VALUE!</v>
      </c>
      <c r="M16" s="117" t="str">
        <f t="shared" si="1"/>
        <v/>
      </c>
    </row>
    <row r="17" spans="1:13" ht="16.5" x14ac:dyDescent="0.2">
      <c r="A17" s="113" t="str">
        <f>IF(ORÇ!A28="","",ORÇ!A28)</f>
        <v/>
      </c>
      <c r="B17" s="114" t="str">
        <f>IF(A17="","",VLOOKUP(A17,CALCULO!$B$1:M$100112,2,0))</f>
        <v/>
      </c>
      <c r="C17" s="113" t="str">
        <f>IF(A17="","",ORÇ!C28)</f>
        <v/>
      </c>
      <c r="D17" s="115" t="str">
        <f>IF(C17="","",ORÇ!H28)</f>
        <v/>
      </c>
      <c r="E17" s="116" t="str">
        <f>IF(C17="","",ORÇ!O28)</f>
        <v/>
      </c>
      <c r="F17" s="116" t="s">
        <v>72</v>
      </c>
      <c r="G17" s="116" t="str">
        <f>IF(C17="","",ORÇ!Q28)</f>
        <v/>
      </c>
      <c r="H17" s="117" t="str">
        <f>ORÇ!J28</f>
        <v/>
      </c>
      <c r="I17" s="117" t="str">
        <f>ORÇ!K28</f>
        <v/>
      </c>
      <c r="J17" s="117" t="str">
        <f>ORÇ!L28</f>
        <v/>
      </c>
      <c r="K17" s="118" t="str">
        <f>ORÇ!M28</f>
        <v/>
      </c>
      <c r="L17" s="119" t="e">
        <f>IF(A17="","",VLOOKUP(A17,CALCULO!$B$1:AA$100112,15,0))*(E17*G17*C17)+(H17*C17)+(I17*E17)</f>
        <v>#VALUE!</v>
      </c>
      <c r="M17" s="117" t="str">
        <f t="shared" si="1"/>
        <v/>
      </c>
    </row>
    <row r="18" spans="1:13" ht="16.5" x14ac:dyDescent="0.2">
      <c r="A18" s="113" t="str">
        <f>IF(ORÇ!A29="","",ORÇ!A29)</f>
        <v/>
      </c>
      <c r="B18" s="114" t="str">
        <f>IF(A18="","",VLOOKUP(A18,CALCULO!$B$1:M$100112,2,0))</f>
        <v/>
      </c>
      <c r="C18" s="113" t="str">
        <f>IF(A18="","",ORÇ!C29)</f>
        <v/>
      </c>
      <c r="D18" s="115" t="str">
        <f>IF(C18="","",ORÇ!H29)</f>
        <v/>
      </c>
      <c r="E18" s="116" t="str">
        <f>IF(C18="","",ORÇ!O29)</f>
        <v/>
      </c>
      <c r="F18" s="116" t="s">
        <v>72</v>
      </c>
      <c r="G18" s="116" t="str">
        <f>IF(C18="","",ORÇ!Q29)</f>
        <v/>
      </c>
      <c r="H18" s="117" t="str">
        <f>ORÇ!J29</f>
        <v/>
      </c>
      <c r="I18" s="117" t="str">
        <f>ORÇ!K29</f>
        <v/>
      </c>
      <c r="J18" s="117" t="str">
        <f>ORÇ!L29</f>
        <v/>
      </c>
      <c r="K18" s="118" t="str">
        <f>ORÇ!M29</f>
        <v/>
      </c>
      <c r="L18" s="119" t="e">
        <f>IF(A18="","",VLOOKUP(A18,CALCULO!$B$1:AA$100112,15,0))*(E18*G18*C18)+(H18*C18)+(I18*E18)</f>
        <v>#VALUE!</v>
      </c>
      <c r="M18" s="117" t="str">
        <f t="shared" si="1"/>
        <v/>
      </c>
    </row>
    <row r="19" spans="1:13" ht="16.5" x14ac:dyDescent="0.2">
      <c r="A19" s="113" t="str">
        <f>IF(ORÇ!A30="","",ORÇ!A30)</f>
        <v/>
      </c>
      <c r="B19" s="114" t="str">
        <f>IF(A19="","",VLOOKUP(A19,CALCULO!$B$1:M$100112,2,0))</f>
        <v/>
      </c>
      <c r="C19" s="113" t="str">
        <f>IF(A19="","",ORÇ!C30)</f>
        <v/>
      </c>
      <c r="D19" s="115" t="str">
        <f>IF(C19="","",ORÇ!H30)</f>
        <v/>
      </c>
      <c r="E19" s="116" t="str">
        <f>IF(C19="","",ORÇ!O30)</f>
        <v/>
      </c>
      <c r="F19" s="116" t="s">
        <v>72</v>
      </c>
      <c r="G19" s="116" t="str">
        <f>IF(C19="","",ORÇ!Q30)</f>
        <v/>
      </c>
      <c r="H19" s="117" t="str">
        <f>ORÇ!J30</f>
        <v/>
      </c>
      <c r="I19" s="117" t="str">
        <f>ORÇ!K30</f>
        <v/>
      </c>
      <c r="J19" s="117" t="str">
        <f>ORÇ!L30</f>
        <v/>
      </c>
      <c r="K19" s="118" t="str">
        <f>ORÇ!M30</f>
        <v/>
      </c>
      <c r="L19" s="119" t="e">
        <f>IF(A19="","",VLOOKUP(A19,CALCULO!$B$1:AA$100112,15,0))*(E19*G19*C19)+(H19*C19)+(I19*E19)</f>
        <v>#VALUE!</v>
      </c>
      <c r="M19" s="117" t="str">
        <f t="shared" si="1"/>
        <v/>
      </c>
    </row>
    <row r="20" spans="1:13" ht="16.5" x14ac:dyDescent="0.2">
      <c r="A20" s="113" t="str">
        <f>IF(ORÇ!A31="","",ORÇ!A31)</f>
        <v/>
      </c>
      <c r="B20" s="114" t="str">
        <f>IF(A20="","",VLOOKUP(A20,CALCULO!$B$1:M$100112,2,0))</f>
        <v/>
      </c>
      <c r="C20" s="113" t="str">
        <f>IF(A20="","",ORÇ!C31)</f>
        <v/>
      </c>
      <c r="D20" s="115" t="str">
        <f>IF(C20="","",ORÇ!H31)</f>
        <v/>
      </c>
      <c r="E20" s="116" t="str">
        <f>IF(C20="","",ORÇ!O31)</f>
        <v/>
      </c>
      <c r="F20" s="116" t="s">
        <v>72</v>
      </c>
      <c r="G20" s="116" t="str">
        <f>IF(C20="","",ORÇ!Q31)</f>
        <v/>
      </c>
      <c r="H20" s="117" t="str">
        <f>ORÇ!J31</f>
        <v/>
      </c>
      <c r="I20" s="117" t="str">
        <f>ORÇ!K31</f>
        <v/>
      </c>
      <c r="J20" s="117" t="str">
        <f>ORÇ!L31</f>
        <v/>
      </c>
      <c r="K20" s="118" t="str">
        <f>ORÇ!M31</f>
        <v/>
      </c>
      <c r="L20" s="119" t="e">
        <f>IF(A20="","",VLOOKUP(A20,CALCULO!$B$1:AA$100112,15,0))*(E20*G20*C20)+(H20*C20)+(I20*E20)</f>
        <v>#VALUE!</v>
      </c>
      <c r="M20" s="117" t="str">
        <f t="shared" si="1"/>
        <v/>
      </c>
    </row>
    <row r="21" spans="1:13" ht="16.5" x14ac:dyDescent="0.2">
      <c r="A21" s="113" t="str">
        <f>IF(ORÇ!A32="","",ORÇ!A32)</f>
        <v/>
      </c>
      <c r="B21" s="114" t="str">
        <f>IF(A21="","",VLOOKUP(A21,CALCULO!$B$1:M$100112,2,0))</f>
        <v/>
      </c>
      <c r="C21" s="113" t="str">
        <f>IF(A21="","",ORÇ!C32)</f>
        <v/>
      </c>
      <c r="D21" s="115" t="str">
        <f>IF(C21="","",ORÇ!H32)</f>
        <v/>
      </c>
      <c r="E21" s="116" t="str">
        <f>IF(C21="","",ORÇ!O32)</f>
        <v/>
      </c>
      <c r="F21" s="116" t="s">
        <v>72</v>
      </c>
      <c r="G21" s="116" t="str">
        <f>IF(C21="","",ORÇ!Q32)</f>
        <v/>
      </c>
      <c r="H21" s="117" t="str">
        <f>ORÇ!J32</f>
        <v/>
      </c>
      <c r="I21" s="117" t="str">
        <f>ORÇ!K32</f>
        <v/>
      </c>
      <c r="J21" s="117" t="str">
        <f>ORÇ!L32</f>
        <v/>
      </c>
      <c r="K21" s="118" t="str">
        <f>ORÇ!M32</f>
        <v/>
      </c>
      <c r="L21" s="119" t="e">
        <f>IF(A21="","",VLOOKUP(A21,CALCULO!$B$1:AA$100112,15,0))*(E21*G21*C21)+(H21*C21)+(I21*E21)</f>
        <v>#VALUE!</v>
      </c>
      <c r="M21" s="117" t="str">
        <f t="shared" si="1"/>
        <v/>
      </c>
    </row>
    <row r="22" spans="1:13" ht="16.5" x14ac:dyDescent="0.2">
      <c r="A22" s="113" t="str">
        <f>IF(ORÇ!A33="","",ORÇ!A33)</f>
        <v/>
      </c>
      <c r="B22" s="114" t="str">
        <f>IF(A22="","",VLOOKUP(A22,CALCULO!$B$1:M$100112,2,0))</f>
        <v/>
      </c>
      <c r="C22" s="113" t="str">
        <f>IF(A22="","",ORÇ!C33)</f>
        <v/>
      </c>
      <c r="D22" s="115" t="str">
        <f>IF(C22="","",ORÇ!H33)</f>
        <v/>
      </c>
      <c r="E22" s="116" t="str">
        <f>IF(C22="","",ORÇ!O33)</f>
        <v/>
      </c>
      <c r="F22" s="116" t="s">
        <v>72</v>
      </c>
      <c r="G22" s="116" t="str">
        <f>IF(C22="","",ORÇ!Q33)</f>
        <v/>
      </c>
      <c r="H22" s="117" t="str">
        <f>ORÇ!J33</f>
        <v/>
      </c>
      <c r="I22" s="117" t="str">
        <f>ORÇ!K33</f>
        <v/>
      </c>
      <c r="J22" s="117" t="str">
        <f>ORÇ!L33</f>
        <v/>
      </c>
      <c r="K22" s="118" t="str">
        <f>ORÇ!M33</f>
        <v/>
      </c>
      <c r="L22" s="119" t="e">
        <f>IF(A22="","",VLOOKUP(A22,CALCULO!$B$1:AA$100112,15,0))*(E22*G22*C22)+(H22*C22)+(I22*E22)</f>
        <v>#VALUE!</v>
      </c>
      <c r="M22" s="117" t="str">
        <f t="shared" si="1"/>
        <v/>
      </c>
    </row>
    <row r="23" spans="1:13" ht="16.5" x14ac:dyDescent="0.2">
      <c r="A23" s="113" t="str">
        <f>IF(ORÇ!A34="","",ORÇ!A34)</f>
        <v/>
      </c>
      <c r="B23" s="114" t="str">
        <f>IF(A23="","",VLOOKUP(A23,CALCULO!$B$1:M$100112,2,0))</f>
        <v/>
      </c>
      <c r="C23" s="113" t="str">
        <f>IF(A23="","",ORÇ!C34)</f>
        <v/>
      </c>
      <c r="D23" s="115" t="str">
        <f>IF(C23="","",ORÇ!H34)</f>
        <v/>
      </c>
      <c r="E23" s="116" t="str">
        <f>IF(C23="","",ORÇ!O34)</f>
        <v/>
      </c>
      <c r="F23" s="116" t="s">
        <v>72</v>
      </c>
      <c r="G23" s="116" t="str">
        <f>IF(C23="","",ORÇ!Q34)</f>
        <v/>
      </c>
      <c r="H23" s="117" t="str">
        <f>ORÇ!J34</f>
        <v/>
      </c>
      <c r="I23" s="117" t="str">
        <f>ORÇ!K34</f>
        <v/>
      </c>
      <c r="J23" s="117" t="str">
        <f>ORÇ!L34</f>
        <v/>
      </c>
      <c r="K23" s="118" t="str">
        <f>ORÇ!M34</f>
        <v/>
      </c>
      <c r="L23" s="119" t="e">
        <f>IF(A23="","",VLOOKUP(A23,CALCULO!$B$1:AA$100112,15,0))*(E23*G23*C23)+(H23*C23)+(I23*E23)</f>
        <v>#VALUE!</v>
      </c>
      <c r="M23" s="117" t="str">
        <f t="shared" si="1"/>
        <v/>
      </c>
    </row>
    <row r="24" spans="1:13" ht="16.5" x14ac:dyDescent="0.2">
      <c r="A24" s="113" t="str">
        <f>IF(ORÇ!A35="","",ORÇ!A35)</f>
        <v/>
      </c>
      <c r="B24" s="114" t="str">
        <f>IF(A24="","",VLOOKUP(A24,CALCULO!$B$1:M$100112,2,0))</f>
        <v/>
      </c>
      <c r="C24" s="113" t="str">
        <f>IF(A24="","",ORÇ!C35)</f>
        <v/>
      </c>
      <c r="D24" s="115" t="str">
        <f>IF(C24="","",ORÇ!H35)</f>
        <v/>
      </c>
      <c r="E24" s="116" t="str">
        <f>IF(C24="","",ORÇ!O35)</f>
        <v/>
      </c>
      <c r="F24" s="116" t="s">
        <v>72</v>
      </c>
      <c r="G24" s="116" t="str">
        <f>IF(C24="","",ORÇ!Q35)</f>
        <v/>
      </c>
      <c r="H24" s="117" t="str">
        <f>ORÇ!J35</f>
        <v/>
      </c>
      <c r="I24" s="117" t="str">
        <f>ORÇ!K35</f>
        <v/>
      </c>
      <c r="J24" s="117" t="str">
        <f>ORÇ!L35</f>
        <v/>
      </c>
      <c r="K24" s="118" t="str">
        <f>ORÇ!M35</f>
        <v/>
      </c>
      <c r="L24" s="119" t="e">
        <f>IF(A24="","",VLOOKUP(A24,CALCULO!$B$1:AA$100112,15,0))*(E24*G24*C24)+(H24*C24)+(I24*E24)</f>
        <v>#VALUE!</v>
      </c>
      <c r="M24" s="117" t="str">
        <f t="shared" si="1"/>
        <v/>
      </c>
    </row>
    <row r="25" spans="1:13" ht="16.5" x14ac:dyDescent="0.2">
      <c r="A25" s="113" t="str">
        <f>IF(ORÇ!A36="","",ORÇ!A36)</f>
        <v/>
      </c>
      <c r="B25" s="114" t="str">
        <f>IF(A25="","",VLOOKUP(A25,CALCULO!$B$1:M$100112,2,0))</f>
        <v/>
      </c>
      <c r="C25" s="113" t="str">
        <f>IF(A25="","",ORÇ!C36)</f>
        <v/>
      </c>
      <c r="D25" s="115" t="str">
        <f>IF(C25="","",ORÇ!H36)</f>
        <v/>
      </c>
      <c r="E25" s="116" t="str">
        <f>IF(C25="","",ORÇ!O36)</f>
        <v/>
      </c>
      <c r="F25" s="116" t="s">
        <v>72</v>
      </c>
      <c r="G25" s="116" t="str">
        <f>IF(C25="","",ORÇ!Q36)</f>
        <v/>
      </c>
      <c r="H25" s="117" t="str">
        <f>ORÇ!J36</f>
        <v/>
      </c>
      <c r="I25" s="117" t="str">
        <f>ORÇ!K36</f>
        <v/>
      </c>
      <c r="J25" s="117" t="str">
        <f>ORÇ!L36</f>
        <v/>
      </c>
      <c r="K25" s="118" t="str">
        <f>ORÇ!M36</f>
        <v/>
      </c>
      <c r="L25" s="119" t="e">
        <f>IF(A25="","",VLOOKUP(A25,CALCULO!$B$1:AA$100112,15,0))*(E25*G25*C25)+(H25*C25)+(I25*E25)</f>
        <v>#VALUE!</v>
      </c>
      <c r="M25" s="117" t="str">
        <f t="shared" si="0"/>
        <v/>
      </c>
    </row>
    <row r="27" spans="1:13" ht="24" customHeight="1" x14ac:dyDescent="0.2">
      <c r="A27" s="47" t="s">
        <v>7</v>
      </c>
      <c r="B27" s="48"/>
      <c r="C27" s="50"/>
      <c r="D27" s="49"/>
      <c r="E27" s="50"/>
      <c r="F27" s="50"/>
      <c r="G27" s="50"/>
      <c r="H27" s="48"/>
      <c r="I27" s="48"/>
      <c r="J27" s="48"/>
      <c r="K27" s="111">
        <f>SUM(K3:K26)</f>
        <v>0</v>
      </c>
      <c r="L27" s="111">
        <f>K27-M27</f>
        <v>0</v>
      </c>
      <c r="M27" s="120">
        <f>SUM(M3:M26)</f>
        <v>0</v>
      </c>
    </row>
    <row r="29" spans="1:13" ht="18" x14ac:dyDescent="0.25">
      <c r="H29" s="229" t="s">
        <v>167</v>
      </c>
      <c r="I29" s="230"/>
      <c r="J29" s="231"/>
      <c r="K29" s="145">
        <f>K27-(K27*0.17)</f>
        <v>0</v>
      </c>
      <c r="M29" s="146">
        <f>K29-L27</f>
        <v>0</v>
      </c>
    </row>
  </sheetData>
  <mergeCells count="2">
    <mergeCell ref="A1:M1"/>
    <mergeCell ref="H29:J2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2060"/>
  </sheetPr>
  <dimension ref="A1:S144"/>
  <sheetViews>
    <sheetView zoomScale="76" zoomScaleNormal="93" workbookViewId="0">
      <pane ySplit="4" topLeftCell="A5" activePane="bottomLeft" state="frozen"/>
      <selection activeCell="C1" sqref="C1"/>
      <selection pane="bottomLeft" activeCell="K73" sqref="K73"/>
    </sheetView>
  </sheetViews>
  <sheetFormatPr defaultRowHeight="12.75" outlineLevelRow="1" outlineLevelCol="2" x14ac:dyDescent="0.2"/>
  <cols>
    <col min="1" max="1" width="19.7109375" customWidth="1"/>
    <col min="3" max="3" width="48.28515625" bestFit="1" customWidth="1"/>
    <col min="4" max="5" width="9.140625" customWidth="1" outlineLevel="1"/>
    <col min="6" max="6" width="9.140625" hidden="1" customWidth="1" outlineLevel="2"/>
    <col min="7" max="7" width="2.140625" hidden="1" customWidth="1" outlineLevel="2"/>
    <col min="8" max="8" width="9.140625" hidden="1" customWidth="1" outlineLevel="2"/>
    <col min="9" max="9" width="9.140625" customWidth="1" outlineLevel="1" collapsed="1"/>
    <col min="10" max="10" width="13.85546875" customWidth="1" outlineLevel="1"/>
    <col min="11" max="11" width="12.7109375" bestFit="1" customWidth="1" outlineLevel="1"/>
    <col min="12" max="13" width="13.85546875" customWidth="1" outlineLevel="1"/>
    <col min="14" max="14" width="2" customWidth="1"/>
    <col min="15" max="15" width="13.42578125" customWidth="1"/>
    <col min="16" max="16" width="12.7109375" bestFit="1" customWidth="1"/>
    <col min="17" max="17" width="9.140625" style="4" bestFit="1" customWidth="1"/>
    <col min="18" max="18" width="12.7109375" bestFit="1" customWidth="1"/>
    <col min="19" max="19" width="12.28515625" bestFit="1" customWidth="1"/>
  </cols>
  <sheetData>
    <row r="1" spans="1:19" s="121" customFormat="1" x14ac:dyDescent="0.2">
      <c r="C1" s="121" t="s">
        <v>84</v>
      </c>
    </row>
    <row r="2" spans="1:19" s="121" customFormat="1" x14ac:dyDescent="0.2"/>
    <row r="3" spans="1:19" s="121" customFormat="1" x14ac:dyDescent="0.2"/>
    <row r="4" spans="1:19" ht="18" x14ac:dyDescent="0.2">
      <c r="A4" s="121"/>
      <c r="B4" s="51" t="s">
        <v>0</v>
      </c>
      <c r="C4" s="51" t="s">
        <v>1</v>
      </c>
      <c r="D4" s="52" t="s">
        <v>52</v>
      </c>
      <c r="E4" s="64" t="s">
        <v>56</v>
      </c>
      <c r="F4" s="64" t="s">
        <v>53</v>
      </c>
      <c r="G4" s="65"/>
      <c r="H4" s="66" t="s">
        <v>54</v>
      </c>
      <c r="I4" s="72" t="s">
        <v>9</v>
      </c>
      <c r="J4" s="52" t="s">
        <v>9</v>
      </c>
      <c r="K4" s="52" t="s">
        <v>63</v>
      </c>
      <c r="L4" s="52" t="s">
        <v>85</v>
      </c>
      <c r="M4" s="52" t="s">
        <v>55</v>
      </c>
      <c r="O4" s="52" t="s">
        <v>51</v>
      </c>
      <c r="P4" s="52" t="s">
        <v>73</v>
      </c>
      <c r="Q4" s="52" t="s">
        <v>49</v>
      </c>
      <c r="R4" s="52" t="s">
        <v>50</v>
      </c>
      <c r="S4" s="123"/>
    </row>
    <row r="5" spans="1:19" ht="5.25" customHeight="1" x14ac:dyDescent="0.2">
      <c r="A5" s="121"/>
      <c r="B5" s="121"/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</row>
    <row r="6" spans="1:19" ht="16.5" hidden="1" outlineLevel="1" x14ac:dyDescent="0.25">
      <c r="A6" s="63" t="s">
        <v>73</v>
      </c>
      <c r="B6" s="54" t="s">
        <v>65</v>
      </c>
      <c r="C6" s="53" t="str">
        <f>IF(B6="","",VLOOKUP(B6,PRODUTOS!$A$4:D$994,2,0))</f>
        <v>VIDRO INCOLOR 8mm</v>
      </c>
      <c r="D6" s="56">
        <v>1</v>
      </c>
      <c r="E6" s="67" t="s">
        <v>9</v>
      </c>
      <c r="F6" s="69">
        <f>F12</f>
        <v>1</v>
      </c>
      <c r="G6" s="70" t="s">
        <v>72</v>
      </c>
      <c r="H6" s="71">
        <f>H12</f>
        <v>1</v>
      </c>
      <c r="I6" s="68">
        <f>H6*F6*D6</f>
        <v>1</v>
      </c>
      <c r="J6" s="58">
        <f>IF(B6="",0,(VLOOKUP(B6,PRODUTOS!$A$4:D$994,4,0)))</f>
        <v>360</v>
      </c>
      <c r="K6" s="58"/>
      <c r="L6" s="58"/>
      <c r="M6" s="58">
        <f>IF(I6&lt;=0,D6*J6,(J6*I6))</f>
        <v>360</v>
      </c>
      <c r="O6" s="59">
        <f>M6-R6</f>
        <v>194.4</v>
      </c>
      <c r="P6" s="59">
        <f>O6</f>
        <v>194.4</v>
      </c>
      <c r="Q6" s="61">
        <v>0.46</v>
      </c>
      <c r="R6" s="60">
        <f>Q6*M6</f>
        <v>165.6</v>
      </c>
      <c r="S6" s="121"/>
    </row>
    <row r="7" spans="1:19" ht="16.5" hidden="1" outlineLevel="1" x14ac:dyDescent="0.25">
      <c r="A7" s="63" t="s">
        <v>74</v>
      </c>
      <c r="B7" s="54" t="s">
        <v>28</v>
      </c>
      <c r="C7" s="53" t="str">
        <f>IF(B7="","",VLOOKUP(B7,PRODUTOS!$A$4:D$994,2,0))</f>
        <v>PUXADOR INOX 40CM</v>
      </c>
      <c r="D7" s="56">
        <v>1</v>
      </c>
      <c r="E7" s="57" t="s">
        <v>5</v>
      </c>
      <c r="F7" s="69"/>
      <c r="G7" s="70" t="s">
        <v>72</v>
      </c>
      <c r="H7" s="71"/>
      <c r="I7" s="55">
        <f t="shared" ref="I7:I10" si="0">IF(E7&lt;&gt;"M²",0,H7*F7*D7)</f>
        <v>0</v>
      </c>
      <c r="L7" s="58">
        <v>40</v>
      </c>
      <c r="M7" s="58">
        <f>IF(I7&lt;=0,D7*L7,(L7*I7))</f>
        <v>40</v>
      </c>
      <c r="O7" s="59">
        <f>M7-R7</f>
        <v>40</v>
      </c>
      <c r="P7" s="59"/>
      <c r="Q7" s="61"/>
      <c r="R7" s="60">
        <f>Q7*M7</f>
        <v>0</v>
      </c>
      <c r="S7" s="121"/>
    </row>
    <row r="8" spans="1:19" ht="16.5" hidden="1" outlineLevel="1" x14ac:dyDescent="0.25">
      <c r="A8" s="63" t="s">
        <v>79</v>
      </c>
      <c r="B8" s="54" t="s">
        <v>62</v>
      </c>
      <c r="C8" s="53" t="str">
        <f>IF(B8="","",VLOOKUP(B8,PRODUTOS!$A$4:D$994,2,0))</f>
        <v>KIT PORTA PIVOTANTE</v>
      </c>
      <c r="D8" s="56">
        <v>1</v>
      </c>
      <c r="E8" s="57" t="s">
        <v>5</v>
      </c>
      <c r="F8" s="69"/>
      <c r="G8" s="70" t="s">
        <v>72</v>
      </c>
      <c r="H8" s="71"/>
      <c r="I8" s="55">
        <f t="shared" si="0"/>
        <v>0</v>
      </c>
      <c r="L8" s="58">
        <v>80</v>
      </c>
      <c r="M8" s="58">
        <v>80</v>
      </c>
      <c r="O8" s="59">
        <f>M8-R8</f>
        <v>80</v>
      </c>
      <c r="P8" s="59"/>
      <c r="Q8" s="61"/>
      <c r="R8" s="60">
        <f t="shared" ref="R8:R10" si="1">Q8*M8</f>
        <v>0</v>
      </c>
      <c r="S8" s="121"/>
    </row>
    <row r="9" spans="1:19" ht="16.5" hidden="1" outlineLevel="1" x14ac:dyDescent="0.25">
      <c r="A9" s="63"/>
      <c r="B9" s="54" t="s">
        <v>178</v>
      </c>
      <c r="C9" s="53" t="str">
        <f>IF(B9="","",VLOOKUP(B9,PRODUTOS!$A$4:D$994,2,0))</f>
        <v>FIXADOR DE PORTA PIV</v>
      </c>
      <c r="D9" s="56">
        <v>1</v>
      </c>
      <c r="E9" s="57" t="s">
        <v>5</v>
      </c>
      <c r="F9" s="69"/>
      <c r="G9" s="70" t="s">
        <v>72</v>
      </c>
      <c r="H9" s="71"/>
      <c r="I9" s="55">
        <f t="shared" ref="I9" si="2">IF(E9&lt;&gt;"M²",0,H9*F9*D9)</f>
        <v>0</v>
      </c>
      <c r="J9" s="58"/>
      <c r="K9" s="58"/>
      <c r="L9" s="58">
        <v>40</v>
      </c>
      <c r="M9" s="58">
        <f>IF(I9&lt;=0,D9*J9,(J9*I9))</f>
        <v>0</v>
      </c>
      <c r="O9" s="59">
        <f t="shared" ref="O9" si="3">M9-R9</f>
        <v>0</v>
      </c>
      <c r="P9" s="59"/>
      <c r="Q9" s="61"/>
      <c r="R9" s="60">
        <f t="shared" ref="R9" si="4">Q9*M9</f>
        <v>0</v>
      </c>
      <c r="S9" s="121"/>
    </row>
    <row r="10" spans="1:19" ht="16.5" hidden="1" outlineLevel="1" x14ac:dyDescent="0.25">
      <c r="A10" s="63"/>
      <c r="B10" s="54"/>
      <c r="C10" s="53" t="str">
        <f>IF(B10="","",VLOOKUP(B10,PRODUTOS!$A$4:D$994,2,0))</f>
        <v/>
      </c>
      <c r="D10" s="56">
        <v>0</v>
      </c>
      <c r="E10" s="57"/>
      <c r="F10" s="69"/>
      <c r="G10" s="70" t="s">
        <v>72</v>
      </c>
      <c r="H10" s="71"/>
      <c r="I10" s="55">
        <f t="shared" si="0"/>
        <v>0</v>
      </c>
      <c r="J10" s="58">
        <f>IF(B10="",0,(VLOOKUP(B10,PRODUTOS!$A$4:D$994,4,0)))</f>
        <v>0</v>
      </c>
      <c r="K10" s="58"/>
      <c r="L10" s="58"/>
      <c r="M10" s="58">
        <f t="shared" ref="M10" si="5">IF(I10&lt;=0,D10*J10,(J10*I10))</f>
        <v>0</v>
      </c>
      <c r="O10" s="59">
        <f t="shared" ref="O10" si="6">M10-R10</f>
        <v>0</v>
      </c>
      <c r="P10" s="59"/>
      <c r="Q10" s="61"/>
      <c r="R10" s="60">
        <f t="shared" si="1"/>
        <v>0</v>
      </c>
      <c r="S10" s="121"/>
    </row>
    <row r="11" spans="1:19" hidden="1" outlineLevel="1" x14ac:dyDescent="0.2">
      <c r="S11" s="121"/>
    </row>
    <row r="12" spans="1:19" ht="16.5" collapsed="1" x14ac:dyDescent="0.25">
      <c r="B12" s="85" t="s">
        <v>90</v>
      </c>
      <c r="C12" s="53" t="s">
        <v>89</v>
      </c>
      <c r="D12" s="91">
        <v>1</v>
      </c>
      <c r="E12" s="57" t="s">
        <v>9</v>
      </c>
      <c r="F12" s="92">
        <v>1</v>
      </c>
      <c r="G12" s="93" t="s">
        <v>72</v>
      </c>
      <c r="H12" s="94">
        <v>1</v>
      </c>
      <c r="I12" s="55">
        <f>I6</f>
        <v>1</v>
      </c>
      <c r="J12" s="95">
        <f>J6+J9</f>
        <v>360</v>
      </c>
      <c r="K12" s="95"/>
      <c r="L12" s="95">
        <f>L7+L8</f>
        <v>120</v>
      </c>
      <c r="M12" s="95">
        <f>J12+L12</f>
        <v>480</v>
      </c>
      <c r="O12" s="59">
        <f>SUM(O6:O10)</f>
        <v>314.39999999999998</v>
      </c>
      <c r="P12" s="59">
        <f>P6</f>
        <v>194.4</v>
      </c>
      <c r="Q12" s="61"/>
      <c r="R12" s="60">
        <f>SUM(R6:R10)</f>
        <v>165.6</v>
      </c>
      <c r="S12" s="124"/>
    </row>
    <row r="13" spans="1:19" ht="5.25" customHeight="1" x14ac:dyDescent="0.2">
      <c r="A13" s="121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</row>
    <row r="14" spans="1:19" ht="16.5" hidden="1" outlineLevel="1" x14ac:dyDescent="0.25">
      <c r="A14" s="63" t="s">
        <v>73</v>
      </c>
      <c r="B14" s="54" t="s">
        <v>64</v>
      </c>
      <c r="C14" s="53" t="str">
        <f>IF(B14="","",VLOOKUP(B14,PRODUTOS!$A$4:D$994,2,0))</f>
        <v>VIDRO VERDE / FUMÊ 8mm</v>
      </c>
      <c r="D14" s="56">
        <v>1</v>
      </c>
      <c r="E14" s="67" t="s">
        <v>9</v>
      </c>
      <c r="F14" s="69">
        <f>F19</f>
        <v>1</v>
      </c>
      <c r="G14" s="70" t="s">
        <v>72</v>
      </c>
      <c r="H14" s="71">
        <f>H19</f>
        <v>1</v>
      </c>
      <c r="I14" s="68">
        <f>H14*F14*D14</f>
        <v>1</v>
      </c>
      <c r="J14" s="58">
        <f>IF(B14="",0,(VLOOKUP(B14,PRODUTOS!$A$4:D$994,4,0)))</f>
        <v>460</v>
      </c>
      <c r="K14" s="58"/>
      <c r="L14" s="58"/>
      <c r="M14" s="58">
        <f>IF(I14&lt;=0,D14*J14,(J14*I14))</f>
        <v>460</v>
      </c>
      <c r="O14" s="59">
        <f>M14-R14</f>
        <v>248.39999999999998</v>
      </c>
      <c r="P14" s="59">
        <f>O14</f>
        <v>248.39999999999998</v>
      </c>
      <c r="Q14" s="61">
        <v>0.46</v>
      </c>
      <c r="R14" s="60">
        <f>Q14*M14</f>
        <v>211.60000000000002</v>
      </c>
      <c r="S14" s="121"/>
    </row>
    <row r="15" spans="1:19" ht="16.5" hidden="1" outlineLevel="1" x14ac:dyDescent="0.25">
      <c r="A15" s="63" t="s">
        <v>74</v>
      </c>
      <c r="B15" s="54" t="s">
        <v>28</v>
      </c>
      <c r="C15" s="53" t="str">
        <f>IF(B15="","",VLOOKUP(B15,PRODUTOS!$A$4:D$994,2,0))</f>
        <v>PUXADOR INOX 40CM</v>
      </c>
      <c r="D15" s="56">
        <v>1</v>
      </c>
      <c r="E15" s="57" t="s">
        <v>5</v>
      </c>
      <c r="F15" s="69"/>
      <c r="G15" s="70" t="s">
        <v>72</v>
      </c>
      <c r="H15" s="71"/>
      <c r="I15" s="55">
        <f t="shared" ref="I15:I17" si="7">IF(E15&lt;&gt;"M²",0,H15*F15*D15)</f>
        <v>0</v>
      </c>
      <c r="L15" s="58">
        <f>IF(B15="",0,(VLOOKUP(B15,PRODUTOS!$A$4:D$994,4,0)))</f>
        <v>50</v>
      </c>
      <c r="M15" s="58">
        <f>IF(I15&lt;=0,D15*L15,(L15*I15))</f>
        <v>50</v>
      </c>
      <c r="O15" s="59">
        <f t="shared" ref="O15:O17" si="8">M15-R15</f>
        <v>50</v>
      </c>
      <c r="P15" s="59"/>
      <c r="Q15" s="61"/>
      <c r="R15" s="60">
        <f>Q15*M15</f>
        <v>0</v>
      </c>
      <c r="S15" s="121"/>
    </row>
    <row r="16" spans="1:19" ht="16.5" hidden="1" outlineLevel="1" x14ac:dyDescent="0.25">
      <c r="A16" s="63" t="s">
        <v>79</v>
      </c>
      <c r="B16" s="54" t="s">
        <v>62</v>
      </c>
      <c r="C16" s="53" t="str">
        <f>IF(B16="","",VLOOKUP(B16,PRODUTOS!$A$4:D$994,2,0))</f>
        <v>KIT PORTA PIVOTANTE</v>
      </c>
      <c r="D16" s="56">
        <v>1</v>
      </c>
      <c r="E16" s="57" t="s">
        <v>9</v>
      </c>
      <c r="F16" s="69"/>
      <c r="G16" s="70" t="s">
        <v>72</v>
      </c>
      <c r="H16" s="71"/>
      <c r="I16" s="55">
        <f t="shared" si="7"/>
        <v>0</v>
      </c>
      <c r="L16" s="58">
        <f>IF(B16="",0,(VLOOKUP(B16,PRODUTOS!$A$4:D$994,4,0)))</f>
        <v>80</v>
      </c>
      <c r="M16" s="58">
        <v>70</v>
      </c>
      <c r="O16" s="59">
        <f t="shared" si="8"/>
        <v>70</v>
      </c>
      <c r="P16" s="59"/>
      <c r="Q16" s="61"/>
      <c r="R16" s="60">
        <f t="shared" ref="R16:R17" si="9">Q16*M16</f>
        <v>0</v>
      </c>
      <c r="S16" s="121"/>
    </row>
    <row r="17" spans="1:19" ht="16.5" hidden="1" outlineLevel="1" x14ac:dyDescent="0.25">
      <c r="A17" s="63"/>
      <c r="B17" s="54" t="s">
        <v>178</v>
      </c>
      <c r="C17" s="53" t="str">
        <f>IF(B17="","",VLOOKUP(B17,PRODUTOS!$A$4:D$994,2,0))</f>
        <v>FIXADOR DE PORTA PIV</v>
      </c>
      <c r="D17" s="56">
        <v>1</v>
      </c>
      <c r="E17" s="57"/>
      <c r="F17" s="69"/>
      <c r="G17" s="70" t="s">
        <v>72</v>
      </c>
      <c r="H17" s="71"/>
      <c r="I17" s="55">
        <f t="shared" si="7"/>
        <v>0</v>
      </c>
      <c r="J17" s="58"/>
      <c r="K17" s="58"/>
      <c r="L17" s="58">
        <v>40</v>
      </c>
      <c r="M17" s="58">
        <v>40</v>
      </c>
      <c r="O17" s="59">
        <f t="shared" si="8"/>
        <v>40</v>
      </c>
      <c r="P17" s="59"/>
      <c r="Q17" s="61"/>
      <c r="R17" s="60">
        <f t="shared" si="9"/>
        <v>0</v>
      </c>
      <c r="S17" s="121"/>
    </row>
    <row r="18" spans="1:19" hidden="1" outlineLevel="1" x14ac:dyDescent="0.2">
      <c r="Q18"/>
      <c r="S18" s="121"/>
    </row>
    <row r="19" spans="1:19" ht="16.5" collapsed="1" x14ac:dyDescent="0.25">
      <c r="B19" s="85" t="s">
        <v>117</v>
      </c>
      <c r="C19" s="53" t="s">
        <v>118</v>
      </c>
      <c r="D19" s="91">
        <v>1</v>
      </c>
      <c r="E19" s="57" t="s">
        <v>9</v>
      </c>
      <c r="F19" s="92">
        <v>1</v>
      </c>
      <c r="G19" s="93" t="s">
        <v>72</v>
      </c>
      <c r="H19" s="94">
        <v>1</v>
      </c>
      <c r="I19" s="55">
        <f>I14</f>
        <v>1</v>
      </c>
      <c r="J19" s="95">
        <f>J14+J17</f>
        <v>460</v>
      </c>
      <c r="K19" s="95"/>
      <c r="L19" s="95">
        <f>L15+L16</f>
        <v>130</v>
      </c>
      <c r="M19" s="95">
        <f>J19+L19</f>
        <v>590</v>
      </c>
      <c r="O19" s="59">
        <f>SUM(O14:O17)</f>
        <v>408.4</v>
      </c>
      <c r="P19" s="59">
        <f>P14</f>
        <v>248.39999999999998</v>
      </c>
      <c r="Q19" s="61"/>
      <c r="R19" s="60">
        <f>SUM(R14:R17)</f>
        <v>211.60000000000002</v>
      </c>
      <c r="S19" s="124"/>
    </row>
    <row r="20" spans="1:19" ht="5.25" customHeight="1" x14ac:dyDescent="0.2">
      <c r="A20" s="121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</row>
    <row r="21" spans="1:19" ht="16.5" hidden="1" outlineLevel="1" x14ac:dyDescent="0.25">
      <c r="A21" s="63" t="s">
        <v>73</v>
      </c>
      <c r="B21" s="54" t="s">
        <v>64</v>
      </c>
      <c r="C21" s="53" t="str">
        <f>IF(B21="","",VLOOKUP(B21,PRODUTOS!$A$4:D$994,2,0))</f>
        <v>VIDRO VERDE / FUMÊ 8mm</v>
      </c>
      <c r="D21" s="56">
        <v>1</v>
      </c>
      <c r="E21" s="57" t="s">
        <v>9</v>
      </c>
      <c r="F21" s="54">
        <f>F26</f>
        <v>1</v>
      </c>
      <c r="G21" s="54" t="s">
        <v>72</v>
      </c>
      <c r="H21" s="54">
        <f>H26</f>
        <v>1</v>
      </c>
      <c r="I21" s="55">
        <f>H21*F21*D21</f>
        <v>1</v>
      </c>
      <c r="J21" s="58">
        <f>IF(B21="",0,(VLOOKUP(B21,PRODUTOS!$A$4:D$994,4,0)))</f>
        <v>460</v>
      </c>
      <c r="K21" s="58"/>
      <c r="L21" s="58"/>
      <c r="M21" s="58">
        <f>IF(I21&lt;=0,D21*J21,(J21*I21))</f>
        <v>460</v>
      </c>
      <c r="O21" s="59">
        <f>M21-R21</f>
        <v>248.39999999999998</v>
      </c>
      <c r="P21" s="59">
        <f>O21</f>
        <v>248.39999999999998</v>
      </c>
      <c r="Q21" s="61">
        <v>0.46</v>
      </c>
      <c r="R21" s="60">
        <f>Q21*M21</f>
        <v>211.60000000000002</v>
      </c>
      <c r="S21" s="121"/>
    </row>
    <row r="22" spans="1:19" ht="16.5" hidden="1" outlineLevel="1" x14ac:dyDescent="0.25">
      <c r="A22" s="63" t="s">
        <v>74</v>
      </c>
      <c r="B22" s="54" t="s">
        <v>28</v>
      </c>
      <c r="C22" s="53" t="str">
        <f>IF(B22="","",VLOOKUP(B22,PRODUTOS!$A$4:D$994,2,0))</f>
        <v>PUXADOR INOX 40CM</v>
      </c>
      <c r="D22" s="56">
        <v>2</v>
      </c>
      <c r="E22" s="57" t="s">
        <v>5</v>
      </c>
      <c r="F22" s="69"/>
      <c r="G22" s="70" t="s">
        <v>72</v>
      </c>
      <c r="H22" s="71"/>
      <c r="I22" s="55">
        <f t="shared" ref="I22:I24" si="10">IF(E22&lt;&gt;"M²",0,H22*F22*D22)</f>
        <v>0</v>
      </c>
      <c r="L22" s="58">
        <f>IF(B22="",0,(VLOOKUP(B22,PRODUTOS!$A$4:D$994,4,0)))*D22</f>
        <v>100</v>
      </c>
      <c r="M22" s="58">
        <f>IF(I22&lt;=0,D22*L22,(L22*I22))</f>
        <v>200</v>
      </c>
      <c r="O22" s="59">
        <f t="shared" ref="O22:O24" si="11">M22-R22</f>
        <v>200</v>
      </c>
      <c r="P22" s="59"/>
      <c r="Q22" s="61"/>
      <c r="R22" s="60">
        <f>Q22*M22</f>
        <v>0</v>
      </c>
      <c r="S22" s="121"/>
    </row>
    <row r="23" spans="1:19" ht="16.5" hidden="1" outlineLevel="1" x14ac:dyDescent="0.25">
      <c r="A23" s="63" t="s">
        <v>79</v>
      </c>
      <c r="B23" s="54" t="s">
        <v>62</v>
      </c>
      <c r="C23" s="53" t="str">
        <f>IF(B23="","",VLOOKUP(B23,PRODUTOS!$A$4:D$994,2,0))</f>
        <v>KIT PORTA PIVOTANTE</v>
      </c>
      <c r="D23" s="56">
        <v>2</v>
      </c>
      <c r="E23" s="57" t="s">
        <v>9</v>
      </c>
      <c r="F23" s="69"/>
      <c r="G23" s="70" t="s">
        <v>72</v>
      </c>
      <c r="H23" s="71"/>
      <c r="I23" s="55">
        <f t="shared" si="10"/>
        <v>0</v>
      </c>
      <c r="L23" s="58">
        <f>IF(B23="",0,(VLOOKUP(B23,PRODUTOS!$A$4:D$994,4,0)))*D23</f>
        <v>160</v>
      </c>
      <c r="M23" s="58">
        <f>IF(I23&lt;=0,D23*L23,(L23*I23))</f>
        <v>320</v>
      </c>
      <c r="O23" s="59">
        <f t="shared" si="11"/>
        <v>320</v>
      </c>
      <c r="P23" s="59"/>
      <c r="Q23" s="61"/>
      <c r="R23" s="60">
        <f t="shared" ref="R23:R24" si="12">Q23*M23</f>
        <v>0</v>
      </c>
      <c r="S23" s="121"/>
    </row>
    <row r="24" spans="1:19" ht="16.5" hidden="1" outlineLevel="1" x14ac:dyDescent="0.25">
      <c r="A24" s="63"/>
      <c r="B24" s="54"/>
      <c r="C24" s="53" t="str">
        <f>IF(B24="","",VLOOKUP(B24,PRODUTOS!$A$4:D$994,2,0))</f>
        <v/>
      </c>
      <c r="D24" s="56">
        <v>0</v>
      </c>
      <c r="E24" s="57"/>
      <c r="F24" s="69"/>
      <c r="G24" s="70" t="s">
        <v>72</v>
      </c>
      <c r="H24" s="71"/>
      <c r="I24" s="55">
        <f t="shared" si="10"/>
        <v>0</v>
      </c>
      <c r="J24" s="58">
        <f>IF(B24="",0,(VLOOKUP(B24,PRODUTOS!$A$4:D$994,4,0)))</f>
        <v>0</v>
      </c>
      <c r="K24" s="58"/>
      <c r="L24" s="58"/>
      <c r="M24" s="58">
        <f t="shared" ref="M24" si="13">IF(I24&lt;=0,D24*J24,(J24*I24))</f>
        <v>0</v>
      </c>
      <c r="O24" s="59">
        <f t="shared" si="11"/>
        <v>0</v>
      </c>
      <c r="P24" s="59"/>
      <c r="Q24" s="61"/>
      <c r="R24" s="60">
        <f t="shared" si="12"/>
        <v>0</v>
      </c>
      <c r="S24" s="121"/>
    </row>
    <row r="25" spans="1:19" hidden="1" outlineLevel="1" x14ac:dyDescent="0.2">
      <c r="Q25"/>
      <c r="S25" s="121"/>
    </row>
    <row r="26" spans="1:19" ht="16.5" collapsed="1" x14ac:dyDescent="0.25">
      <c r="B26" s="85" t="s">
        <v>166</v>
      </c>
      <c r="C26" s="53" t="s">
        <v>165</v>
      </c>
      <c r="D26" s="91">
        <v>1</v>
      </c>
      <c r="E26" s="57" t="s">
        <v>9</v>
      </c>
      <c r="F26" s="92">
        <v>1</v>
      </c>
      <c r="G26" s="93" t="s">
        <v>72</v>
      </c>
      <c r="H26" s="94">
        <v>1</v>
      </c>
      <c r="I26" s="55">
        <f>I21</f>
        <v>1</v>
      </c>
      <c r="J26" s="95">
        <f>J21+J24</f>
        <v>460</v>
      </c>
      <c r="K26" s="95"/>
      <c r="L26" s="95">
        <f>L22+L23</f>
        <v>260</v>
      </c>
      <c r="M26" s="95">
        <f>J26+L26</f>
        <v>720</v>
      </c>
      <c r="O26" s="59">
        <f>SUM(O21:O24)</f>
        <v>768.4</v>
      </c>
      <c r="P26" s="59">
        <f>P21</f>
        <v>248.39999999999998</v>
      </c>
      <c r="Q26" s="61"/>
      <c r="R26" s="60">
        <f>SUM(R21:R24)</f>
        <v>211.60000000000002</v>
      </c>
      <c r="S26" s="124"/>
    </row>
    <row r="27" spans="1:19" ht="5.25" customHeight="1" x14ac:dyDescent="0.2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</row>
    <row r="28" spans="1:19" ht="16.5" hidden="1" outlineLevel="1" x14ac:dyDescent="0.25">
      <c r="A28" s="63" t="s">
        <v>73</v>
      </c>
      <c r="B28" s="54" t="s">
        <v>66</v>
      </c>
      <c r="C28" s="53" t="str">
        <f>IF(B28="","",VLOOKUP(B28,PRODUTOS!$A$4:D$994,2,0))</f>
        <v xml:space="preserve">VIDRO INCOLOR 10mm </v>
      </c>
      <c r="D28" s="56">
        <v>1</v>
      </c>
      <c r="E28" s="57" t="s">
        <v>9</v>
      </c>
      <c r="F28" s="54">
        <f>F33</f>
        <v>1</v>
      </c>
      <c r="G28" s="54" t="s">
        <v>72</v>
      </c>
      <c r="H28" s="54">
        <f>H33</f>
        <v>1</v>
      </c>
      <c r="I28" s="55">
        <f>H28*F28*D28</f>
        <v>1</v>
      </c>
      <c r="J28" s="58">
        <f>IF(B28="",0,(VLOOKUP(B28,PRODUTOS!$A$4:D$994,4,0)))</f>
        <v>470</v>
      </c>
      <c r="K28" s="58"/>
      <c r="L28" s="58"/>
      <c r="M28" s="58">
        <f>IF(I28&lt;=0,D28*J28,(J28*I28))</f>
        <v>470</v>
      </c>
      <c r="O28" s="59">
        <f>M28-R28</f>
        <v>253.79999999999998</v>
      </c>
      <c r="P28" s="59">
        <f>O28</f>
        <v>253.79999999999998</v>
      </c>
      <c r="Q28" s="61">
        <v>0.46</v>
      </c>
      <c r="R28" s="60">
        <f>Q28*M28</f>
        <v>216.20000000000002</v>
      </c>
      <c r="S28" s="121"/>
    </row>
    <row r="29" spans="1:19" ht="16.5" hidden="1" outlineLevel="1" x14ac:dyDescent="0.25">
      <c r="A29" s="63" t="s">
        <v>74</v>
      </c>
      <c r="B29" s="54" t="s">
        <v>28</v>
      </c>
      <c r="C29" s="53" t="str">
        <f>IF(B29="","",VLOOKUP(B29,PRODUTOS!$A$4:D$994,2,0))</f>
        <v>PUXADOR INOX 40CM</v>
      </c>
      <c r="D29" s="56">
        <v>1</v>
      </c>
      <c r="E29" s="57" t="s">
        <v>5</v>
      </c>
      <c r="F29" s="69"/>
      <c r="G29" s="70" t="s">
        <v>72</v>
      </c>
      <c r="H29" s="71"/>
      <c r="I29" s="55">
        <f t="shared" ref="I29:I31" si="14">IF(E29&lt;&gt;"M²",0,H29*F29*D29)</f>
        <v>0</v>
      </c>
      <c r="L29" s="58">
        <f>IF(B29="",0,(VLOOKUP(B29,PRODUTOS!$A$4:D$994,4,0)))*D29</f>
        <v>50</v>
      </c>
      <c r="M29" s="58">
        <f>IF(I29&lt;=0,D29*L29,(L29*I29))</f>
        <v>50</v>
      </c>
      <c r="O29" s="59">
        <f t="shared" ref="O29:O31" si="15">M29-R29</f>
        <v>50</v>
      </c>
      <c r="P29" s="59"/>
      <c r="Q29" s="61"/>
      <c r="R29" s="60">
        <f>Q29*M29</f>
        <v>0</v>
      </c>
      <c r="S29" s="121"/>
    </row>
    <row r="30" spans="1:19" ht="16.5" hidden="1" outlineLevel="1" x14ac:dyDescent="0.25">
      <c r="A30" s="63" t="s">
        <v>79</v>
      </c>
      <c r="B30" s="54" t="s">
        <v>62</v>
      </c>
      <c r="C30" s="53" t="str">
        <f>IF(B30="","",VLOOKUP(B30,PRODUTOS!$A$4:D$994,2,0))</f>
        <v>KIT PORTA PIVOTANTE</v>
      </c>
      <c r="D30" s="56">
        <v>1</v>
      </c>
      <c r="E30" s="57" t="s">
        <v>9</v>
      </c>
      <c r="F30" s="69"/>
      <c r="G30" s="70" t="s">
        <v>72</v>
      </c>
      <c r="H30" s="71"/>
      <c r="I30" s="55">
        <f t="shared" si="14"/>
        <v>0</v>
      </c>
      <c r="L30" s="58">
        <f>IF(B30="",0,(VLOOKUP(B30,PRODUTOS!$A$4:D$994,4,0)))*D30</f>
        <v>80</v>
      </c>
      <c r="M30" s="58">
        <f>IF(I30&lt;=0,D30*L30,(L30*I30))</f>
        <v>80</v>
      </c>
      <c r="O30" s="59">
        <f t="shared" si="15"/>
        <v>80</v>
      </c>
      <c r="P30" s="59"/>
      <c r="Q30" s="61"/>
      <c r="R30" s="60">
        <f t="shared" ref="R30:R31" si="16">Q30*M30</f>
        <v>0</v>
      </c>
      <c r="S30" s="121"/>
    </row>
    <row r="31" spans="1:19" ht="16.5" hidden="1" outlineLevel="1" x14ac:dyDescent="0.25">
      <c r="A31" s="63"/>
      <c r="B31" s="54"/>
      <c r="C31" s="53" t="str">
        <f>IF(B31="","",VLOOKUP(B31,PRODUTOS!$A$4:D$994,2,0))</f>
        <v/>
      </c>
      <c r="D31" s="56">
        <v>0</v>
      </c>
      <c r="E31" s="57"/>
      <c r="F31" s="69"/>
      <c r="G31" s="70" t="s">
        <v>72</v>
      </c>
      <c r="H31" s="71"/>
      <c r="I31" s="55">
        <f t="shared" si="14"/>
        <v>0</v>
      </c>
      <c r="J31" s="58">
        <f>IF(B31="",0,(VLOOKUP(B31,PRODUTOS!$A$4:D$994,4,0)))</f>
        <v>0</v>
      </c>
      <c r="K31" s="58"/>
      <c r="L31" s="58"/>
      <c r="M31" s="58">
        <f t="shared" ref="M31" si="17">IF(I31&lt;=0,D31*J31,(J31*I31))</f>
        <v>0</v>
      </c>
      <c r="O31" s="59">
        <f t="shared" si="15"/>
        <v>0</v>
      </c>
      <c r="P31" s="59"/>
      <c r="Q31" s="61"/>
      <c r="R31" s="60">
        <f t="shared" si="16"/>
        <v>0</v>
      </c>
      <c r="S31" s="121"/>
    </row>
    <row r="32" spans="1:19" hidden="1" outlineLevel="1" x14ac:dyDescent="0.2">
      <c r="Q32"/>
      <c r="S32" s="121"/>
    </row>
    <row r="33" spans="1:19" ht="16.5" collapsed="1" x14ac:dyDescent="0.25">
      <c r="B33" s="85" t="s">
        <v>173</v>
      </c>
      <c r="C33" s="53" t="s">
        <v>174</v>
      </c>
      <c r="D33" s="91">
        <v>1</v>
      </c>
      <c r="E33" s="57" t="s">
        <v>9</v>
      </c>
      <c r="F33" s="92">
        <v>1</v>
      </c>
      <c r="G33" s="93" t="s">
        <v>72</v>
      </c>
      <c r="H33" s="94">
        <v>1</v>
      </c>
      <c r="I33" s="55">
        <f>I28</f>
        <v>1</v>
      </c>
      <c r="J33" s="95">
        <f>J28+J31</f>
        <v>470</v>
      </c>
      <c r="K33" s="95"/>
      <c r="L33" s="95">
        <f>L29+L30</f>
        <v>130</v>
      </c>
      <c r="M33" s="95">
        <f>J33+L33</f>
        <v>600</v>
      </c>
      <c r="O33" s="59">
        <f>SUM(O28:O31)</f>
        <v>383.79999999999995</v>
      </c>
      <c r="P33" s="59">
        <f>P28</f>
        <v>253.79999999999998</v>
      </c>
      <c r="Q33" s="61"/>
      <c r="R33" s="60">
        <f>SUM(R28:R31)</f>
        <v>216.20000000000002</v>
      </c>
      <c r="S33" s="124"/>
    </row>
    <row r="34" spans="1:19" ht="5.25" customHeight="1" x14ac:dyDescent="0.2">
      <c r="A34" s="121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2"/>
      <c r="R34" s="121"/>
      <c r="S34" s="121"/>
    </row>
    <row r="35" spans="1:19" ht="16.5" hidden="1" outlineLevel="1" x14ac:dyDescent="0.25">
      <c r="A35" s="63" t="s">
        <v>73</v>
      </c>
      <c r="B35" s="54" t="s">
        <v>65</v>
      </c>
      <c r="C35" s="53" t="str">
        <f>IF(B35="","",VLOOKUP(B35,PRODUTOS!$A$4:D$994,2,0))</f>
        <v>VIDRO INCOLOR 8mm</v>
      </c>
      <c r="D35" s="56">
        <v>1</v>
      </c>
      <c r="E35" s="67" t="s">
        <v>9</v>
      </c>
      <c r="F35" s="69">
        <f>F41</f>
        <v>1</v>
      </c>
      <c r="G35" s="70" t="s">
        <v>72</v>
      </c>
      <c r="H35" s="71">
        <f>H41</f>
        <v>1</v>
      </c>
      <c r="I35" s="68">
        <f>H35*F35*D35</f>
        <v>1</v>
      </c>
      <c r="J35" s="58">
        <f>IF(B35="",0,(VLOOKUP(B35,PRODUTOS!$A$4:D$994,4,0)))</f>
        <v>360</v>
      </c>
      <c r="K35" s="58"/>
      <c r="L35" s="58"/>
      <c r="M35" s="58">
        <f>IF(I35&lt;=0,D35*J35,(J35*I35))</f>
        <v>360</v>
      </c>
      <c r="O35" s="59">
        <f>M35-R35</f>
        <v>194.4</v>
      </c>
      <c r="P35" s="59">
        <f>O35</f>
        <v>194.4</v>
      </c>
      <c r="Q35" s="61">
        <v>0.46</v>
      </c>
      <c r="R35" s="60">
        <f>Q35*M35</f>
        <v>165.6</v>
      </c>
      <c r="S35" s="121"/>
    </row>
    <row r="36" spans="1:19" ht="16.5" hidden="1" outlineLevel="1" x14ac:dyDescent="0.25">
      <c r="A36" s="63" t="s">
        <v>80</v>
      </c>
      <c r="B36" s="54" t="s">
        <v>76</v>
      </c>
      <c r="C36" s="53" t="str">
        <f>IF(B36="","",VLOOKUP(B36,PRODUTOS!$A$4:D$994,2,0))</f>
        <v>KIT ALUMÍNIO</v>
      </c>
      <c r="D36" s="56">
        <v>1</v>
      </c>
      <c r="E36" s="57" t="s">
        <v>5</v>
      </c>
      <c r="F36" s="69"/>
      <c r="G36" s="70" t="s">
        <v>72</v>
      </c>
      <c r="H36" s="71">
        <f>IF(D36&lt;=0.1,0,H41*D36)</f>
        <v>1</v>
      </c>
      <c r="I36" s="55">
        <f>IF(E36&lt;&gt;"M²",0,H36*F36*D36)</f>
        <v>0</v>
      </c>
      <c r="J36" s="58"/>
      <c r="K36" s="58">
        <f>IF(D36&lt;1,0,IF(B36="",0,(VLOOKUP(B36,PRODUTOS!$A$4:D$994,4,0))))</f>
        <v>85</v>
      </c>
      <c r="L36" s="58"/>
      <c r="M36" s="58">
        <f>K36*H36</f>
        <v>85</v>
      </c>
      <c r="O36" s="59">
        <f t="shared" ref="O36" si="18">M36-R36</f>
        <v>85</v>
      </c>
      <c r="P36" s="59"/>
      <c r="Q36" s="61"/>
      <c r="R36" s="60">
        <f t="shared" ref="R36" si="19">Q36*M36</f>
        <v>0</v>
      </c>
      <c r="S36" s="121"/>
    </row>
    <row r="37" spans="1:19" ht="16.5" hidden="1" outlineLevel="1" x14ac:dyDescent="0.25">
      <c r="A37" s="63" t="s">
        <v>74</v>
      </c>
      <c r="B37" s="54" t="s">
        <v>28</v>
      </c>
      <c r="C37" s="53" t="str">
        <f>IF(B37="","",VLOOKUP(B37,PRODUTOS!$A$4:D$994,2,0))</f>
        <v>PUXADOR INOX 40CM</v>
      </c>
      <c r="D37" s="56">
        <v>1</v>
      </c>
      <c r="E37" s="57" t="s">
        <v>5</v>
      </c>
      <c r="F37" s="69"/>
      <c r="G37" s="70" t="s">
        <v>72</v>
      </c>
      <c r="H37" s="71"/>
      <c r="I37" s="55">
        <f t="shared" ref="I37:I38" si="20">IF(E37&lt;&gt;"M²",0,H37*F37*D37)</f>
        <v>0</v>
      </c>
      <c r="J37" s="58"/>
      <c r="K37" s="58"/>
      <c r="L37" s="58">
        <f>IF(B37="",0,(VLOOKUP(B37,PRODUTOS!$A$4:D$994,4,0)))</f>
        <v>50</v>
      </c>
      <c r="M37" s="58">
        <f>IF(I37&lt;=0,D37*L37,(L37*I37))</f>
        <v>50</v>
      </c>
      <c r="O37" s="59">
        <f>M37-R37</f>
        <v>50</v>
      </c>
      <c r="P37" s="59"/>
      <c r="Q37" s="61"/>
      <c r="R37" s="60">
        <f>Q37*M37</f>
        <v>0</v>
      </c>
      <c r="S37" s="121"/>
    </row>
    <row r="38" spans="1:19" ht="16.5" hidden="1" outlineLevel="1" x14ac:dyDescent="0.25">
      <c r="A38" s="63" t="s">
        <v>127</v>
      </c>
      <c r="B38" s="54" t="s">
        <v>124</v>
      </c>
      <c r="C38" s="53" t="str">
        <f>IF(B38="","",VLOOKUP(B38,PRODUTOS!$A$4:D$994,2,0))</f>
        <v>FECHADURA PORTA CORRER VA</v>
      </c>
      <c r="D38" s="56">
        <v>1</v>
      </c>
      <c r="E38" s="57" t="s">
        <v>5</v>
      </c>
      <c r="F38" s="69"/>
      <c r="G38" s="70" t="s">
        <v>72</v>
      </c>
      <c r="H38" s="71"/>
      <c r="I38" s="55">
        <f t="shared" si="20"/>
        <v>0</v>
      </c>
      <c r="J38" s="58"/>
      <c r="K38" s="58"/>
      <c r="L38" s="58">
        <f>IF(B38="",0,(VLOOKUP(B38,PRODUTOS!$A$4:D$994,4,0)))</f>
        <v>70</v>
      </c>
      <c r="M38" s="58">
        <f>IF(I38&lt;=0,D38*L38,(L38*I38))</f>
        <v>70</v>
      </c>
      <c r="O38" s="59"/>
      <c r="P38" s="59"/>
      <c r="Q38" s="61"/>
      <c r="R38" s="60"/>
      <c r="S38" s="121"/>
    </row>
    <row r="39" spans="1:19" ht="17.25" hidden="1" customHeight="1" outlineLevel="1" x14ac:dyDescent="0.25">
      <c r="A39" s="63"/>
      <c r="B39" s="54"/>
      <c r="C39" s="53" t="str">
        <f>IF(B39="","",VLOOKUP(B39,PRODUTOS!$A$4:D$994,2,0))</f>
        <v/>
      </c>
      <c r="D39" s="56"/>
      <c r="E39" s="57"/>
      <c r="F39" s="69"/>
      <c r="G39" s="70" t="s">
        <v>72</v>
      </c>
      <c r="H39" s="71"/>
      <c r="I39" s="55"/>
      <c r="J39" s="58">
        <f>IF(B39="",0,(VLOOKUP(B39,PRODUTOS!$A$4:D$994,4,0)))</f>
        <v>0</v>
      </c>
      <c r="K39" s="58"/>
      <c r="L39" s="58"/>
      <c r="M39" s="58">
        <f>IF(I39&lt;=0,D39*J39,(J39*I39))</f>
        <v>0</v>
      </c>
      <c r="O39" s="59"/>
      <c r="P39" s="59"/>
      <c r="Q39" s="61"/>
      <c r="R39" s="60"/>
      <c r="S39" s="121"/>
    </row>
    <row r="40" spans="1:19" hidden="1" outlineLevel="1" x14ac:dyDescent="0.2">
      <c r="Q40"/>
      <c r="S40" s="121"/>
    </row>
    <row r="41" spans="1:19" ht="16.5" collapsed="1" x14ac:dyDescent="0.25">
      <c r="B41" s="77" t="s">
        <v>129</v>
      </c>
      <c r="C41" s="53" t="s">
        <v>121</v>
      </c>
      <c r="D41" s="86">
        <v>1</v>
      </c>
      <c r="E41" s="57" t="s">
        <v>9</v>
      </c>
      <c r="F41" s="87">
        <v>1</v>
      </c>
      <c r="G41" s="88" t="s">
        <v>72</v>
      </c>
      <c r="H41" s="89">
        <v>1</v>
      </c>
      <c r="I41" s="55">
        <f>I35</f>
        <v>1</v>
      </c>
      <c r="J41" s="90">
        <f>J35</f>
        <v>360</v>
      </c>
      <c r="K41" s="90">
        <f>K36</f>
        <v>85</v>
      </c>
      <c r="L41" s="90">
        <f>L38+L37</f>
        <v>120</v>
      </c>
      <c r="M41" s="90">
        <f>SUM(M35:M39)*D41</f>
        <v>565</v>
      </c>
      <c r="O41" s="59">
        <f>SUM(O35:O39)</f>
        <v>329.4</v>
      </c>
      <c r="P41" s="59">
        <f>P35</f>
        <v>194.4</v>
      </c>
      <c r="Q41" s="61"/>
      <c r="R41" s="60">
        <f>SUM(R35:R39)</f>
        <v>165.6</v>
      </c>
      <c r="S41" s="124"/>
    </row>
    <row r="42" spans="1:19" ht="5.25" customHeight="1" x14ac:dyDescent="0.2">
      <c r="A42" s="121"/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2"/>
      <c r="R42" s="121"/>
      <c r="S42" s="121"/>
    </row>
    <row r="43" spans="1:19" ht="16.5" hidden="1" outlineLevel="1" x14ac:dyDescent="0.25">
      <c r="A43" s="63" t="s">
        <v>73</v>
      </c>
      <c r="B43" s="54" t="s">
        <v>64</v>
      </c>
      <c r="C43" s="53" t="str">
        <f>IF(B43="","",VLOOKUP(B43,PRODUTOS!$A$4:D$994,2,0))</f>
        <v>VIDRO VERDE / FUMÊ 8mm</v>
      </c>
      <c r="D43" s="56">
        <v>1</v>
      </c>
      <c r="E43" s="67" t="s">
        <v>9</v>
      </c>
      <c r="F43" s="69">
        <f>F49</f>
        <v>1</v>
      </c>
      <c r="G43" s="70" t="s">
        <v>72</v>
      </c>
      <c r="H43" s="71">
        <f>H49</f>
        <v>1</v>
      </c>
      <c r="I43" s="68">
        <f>H43*F43*D43</f>
        <v>1</v>
      </c>
      <c r="J43" s="58">
        <f>IF(B43="",0,(VLOOKUP(B43,PRODUTOS!$A$4:D$994,4,0)))</f>
        <v>460</v>
      </c>
      <c r="K43" s="58"/>
      <c r="L43" s="58"/>
      <c r="M43" s="58">
        <f>IF(I43&lt;=0,D43*J43,(J43*I43))</f>
        <v>460</v>
      </c>
      <c r="O43" s="59">
        <f>M43-R43</f>
        <v>248.39999999999998</v>
      </c>
      <c r="P43" s="59">
        <f>O43</f>
        <v>248.39999999999998</v>
      </c>
      <c r="Q43" s="61">
        <v>0.46</v>
      </c>
      <c r="R43" s="60">
        <f>Q43*M43</f>
        <v>211.60000000000002</v>
      </c>
      <c r="S43" s="121"/>
    </row>
    <row r="44" spans="1:19" ht="16.5" hidden="1" outlineLevel="1" x14ac:dyDescent="0.25">
      <c r="A44" s="63" t="s">
        <v>80</v>
      </c>
      <c r="B44" s="54" t="s">
        <v>76</v>
      </c>
      <c r="C44" s="53" t="str">
        <f>IF(B44="","",VLOOKUP(B44,PRODUTOS!$A$4:D$994,2,0))</f>
        <v>KIT ALUMÍNIO</v>
      </c>
      <c r="D44" s="56">
        <v>1</v>
      </c>
      <c r="E44" s="57" t="s">
        <v>5</v>
      </c>
      <c r="F44" s="69"/>
      <c r="G44" s="70" t="s">
        <v>72</v>
      </c>
      <c r="H44" s="71">
        <f>IF(D44&lt;=0.1,0,H49*D44)</f>
        <v>1</v>
      </c>
      <c r="I44" s="55">
        <f>IF(E44&lt;&gt;"M²",0,H44*F44*D44)</f>
        <v>0</v>
      </c>
      <c r="J44" s="58"/>
      <c r="K44" s="58">
        <f>IF(D44&lt;1,0,IF(B44="",0,(VLOOKUP(B44,PRODUTOS!$A$4:D$994,4,0))))</f>
        <v>85</v>
      </c>
      <c r="L44" s="58"/>
      <c r="M44" s="58">
        <f>K44*H44</f>
        <v>85</v>
      </c>
      <c r="O44" s="59">
        <f t="shared" ref="O44" si="21">M44-R44</f>
        <v>85</v>
      </c>
      <c r="P44" s="59"/>
      <c r="Q44" s="61"/>
      <c r="R44" s="60">
        <f t="shared" ref="R44" si="22">Q44*M44</f>
        <v>0</v>
      </c>
      <c r="S44" s="121"/>
    </row>
    <row r="45" spans="1:19" ht="16.5" hidden="1" outlineLevel="1" x14ac:dyDescent="0.25">
      <c r="A45" s="63" t="s">
        <v>74</v>
      </c>
      <c r="B45" s="54" t="s">
        <v>28</v>
      </c>
      <c r="C45" s="53" t="str">
        <f>IF(B45="","",VLOOKUP(B45,PRODUTOS!$A$4:D$994,2,0))</f>
        <v>PUXADOR INOX 40CM</v>
      </c>
      <c r="D45" s="56">
        <v>1</v>
      </c>
      <c r="E45" s="57" t="s">
        <v>5</v>
      </c>
      <c r="F45" s="69"/>
      <c r="G45" s="70" t="s">
        <v>72</v>
      </c>
      <c r="H45" s="71"/>
      <c r="I45" s="55">
        <f t="shared" ref="I45:I46" si="23">IF(E45&lt;&gt;"M²",0,H45*F45*D45)</f>
        <v>0</v>
      </c>
      <c r="J45" s="58"/>
      <c r="K45" s="58"/>
      <c r="L45" s="58">
        <f>IF(B45="",0,(VLOOKUP(B45,PRODUTOS!$A$4:D$994,4,0)))</f>
        <v>50</v>
      </c>
      <c r="M45" s="58">
        <f>IF(I45&lt;=0,D45*L45,(L45*I45))</f>
        <v>50</v>
      </c>
      <c r="O45" s="59">
        <f t="shared" ref="O45" si="24">M45-R45</f>
        <v>50</v>
      </c>
      <c r="P45" s="59"/>
      <c r="Q45" s="61"/>
      <c r="R45" s="60">
        <f>Q45*M45</f>
        <v>0</v>
      </c>
      <c r="S45" s="121"/>
    </row>
    <row r="46" spans="1:19" ht="16.5" hidden="1" outlineLevel="1" x14ac:dyDescent="0.25">
      <c r="A46" s="63" t="s">
        <v>127</v>
      </c>
      <c r="B46" s="54" t="s">
        <v>124</v>
      </c>
      <c r="C46" s="53" t="str">
        <f>IF(B46="","",VLOOKUP(B46,PRODUTOS!$A$4:D$994,2,0))</f>
        <v>FECHADURA PORTA CORRER VA</v>
      </c>
      <c r="D46" s="56">
        <v>1</v>
      </c>
      <c r="E46" s="57" t="s">
        <v>5</v>
      </c>
      <c r="F46" s="69"/>
      <c r="G46" s="70" t="s">
        <v>72</v>
      </c>
      <c r="H46" s="71"/>
      <c r="I46" s="55">
        <f t="shared" si="23"/>
        <v>0</v>
      </c>
      <c r="J46" s="58"/>
      <c r="K46" s="58"/>
      <c r="L46" s="58">
        <f>IF(B46="",0,(VLOOKUP(B46,PRODUTOS!$A$4:D$994,4,0)))</f>
        <v>70</v>
      </c>
      <c r="M46" s="58">
        <f>IF(I46&lt;=0,D46*L46,(L46*I46))</f>
        <v>70</v>
      </c>
      <c r="O46" s="59"/>
      <c r="P46" s="59"/>
      <c r="Q46" s="61"/>
      <c r="R46" s="60"/>
      <c r="S46" s="121"/>
    </row>
    <row r="47" spans="1:19" ht="17.25" hidden="1" customHeight="1" outlineLevel="1" x14ac:dyDescent="0.25">
      <c r="A47" s="63"/>
      <c r="B47" s="54"/>
      <c r="C47" s="53" t="str">
        <f>IF(B47="","",VLOOKUP(B47,PRODUTOS!$A$4:D$994,2,0))</f>
        <v/>
      </c>
      <c r="D47" s="56"/>
      <c r="E47" s="57"/>
      <c r="F47" s="69"/>
      <c r="G47" s="70" t="s">
        <v>72</v>
      </c>
      <c r="H47" s="71"/>
      <c r="I47" s="55"/>
      <c r="J47" s="58">
        <f>IF(B47="",0,(VLOOKUP(B47,PRODUTOS!$A$4:D$994,4,0)))</f>
        <v>0</v>
      </c>
      <c r="K47" s="58"/>
      <c r="L47" s="58"/>
      <c r="M47" s="58">
        <f>IF(I47&lt;=0,D47*J47,(J47*I47))</f>
        <v>0</v>
      </c>
      <c r="O47" s="59"/>
      <c r="P47" s="59"/>
      <c r="Q47" s="61"/>
      <c r="R47" s="60"/>
      <c r="S47" s="121"/>
    </row>
    <row r="48" spans="1:19" hidden="1" outlineLevel="1" x14ac:dyDescent="0.2">
      <c r="Q48"/>
      <c r="S48" s="121"/>
    </row>
    <row r="49" spans="1:19" ht="16.5" collapsed="1" x14ac:dyDescent="0.25">
      <c r="B49" s="77" t="s">
        <v>130</v>
      </c>
      <c r="C49" s="53" t="s">
        <v>122</v>
      </c>
      <c r="D49" s="86">
        <v>1</v>
      </c>
      <c r="E49" s="57" t="s">
        <v>9</v>
      </c>
      <c r="F49" s="87">
        <v>1</v>
      </c>
      <c r="G49" s="88" t="s">
        <v>72</v>
      </c>
      <c r="H49" s="89">
        <v>1</v>
      </c>
      <c r="I49" s="55">
        <f>I43</f>
        <v>1</v>
      </c>
      <c r="J49" s="90">
        <f>J43</f>
        <v>460</v>
      </c>
      <c r="K49" s="90">
        <f>K44</f>
        <v>85</v>
      </c>
      <c r="L49" s="90">
        <f>L46+L45</f>
        <v>120</v>
      </c>
      <c r="M49" s="90">
        <f>SUM(M43:M47)*D49</f>
        <v>665</v>
      </c>
      <c r="O49" s="59">
        <f>SUM(O43:O47)</f>
        <v>383.4</v>
      </c>
      <c r="P49" s="59">
        <f>P43</f>
        <v>248.39999999999998</v>
      </c>
      <c r="Q49" s="61"/>
      <c r="R49" s="60">
        <f>SUM(R43:R47)</f>
        <v>211.60000000000002</v>
      </c>
      <c r="S49" s="124"/>
    </row>
    <row r="50" spans="1:19" ht="5.25" customHeight="1" x14ac:dyDescent="0.2">
      <c r="A50" s="121"/>
      <c r="B50" s="121"/>
      <c r="C50" s="121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2"/>
      <c r="R50" s="121"/>
      <c r="S50" s="121"/>
    </row>
    <row r="51" spans="1:19" ht="16.5" hidden="1" outlineLevel="1" x14ac:dyDescent="0.25">
      <c r="A51" s="63" t="s">
        <v>73</v>
      </c>
      <c r="B51" s="54" t="s">
        <v>65</v>
      </c>
      <c r="C51" s="53" t="str">
        <f>IF(B51="","",VLOOKUP(B51,PRODUTOS!$A$4:D$994,2,0))</f>
        <v>VIDRO INCOLOR 8mm</v>
      </c>
      <c r="D51" s="56">
        <v>1</v>
      </c>
      <c r="E51" s="67" t="s">
        <v>9</v>
      </c>
      <c r="F51" s="69">
        <f>F57</f>
        <v>1</v>
      </c>
      <c r="G51" s="70" t="s">
        <v>72</v>
      </c>
      <c r="H51" s="71">
        <f>H57</f>
        <v>1</v>
      </c>
      <c r="I51" s="68">
        <f>H51*F51*D51</f>
        <v>1</v>
      </c>
      <c r="J51" s="58">
        <f>IF(B51="",0,(VLOOKUP(B51,PRODUTOS!$A$4:D$994,4,0)))</f>
        <v>360</v>
      </c>
      <c r="K51" s="58"/>
      <c r="L51" s="58"/>
      <c r="M51" s="58">
        <f>IF(I51&lt;=0,D51*J51,(J51*I51))</f>
        <v>360</v>
      </c>
      <c r="O51" s="59">
        <f>M51-R51</f>
        <v>194.4</v>
      </c>
      <c r="P51" s="59">
        <f>O51</f>
        <v>194.4</v>
      </c>
      <c r="Q51" s="61">
        <v>0.46</v>
      </c>
      <c r="R51" s="60">
        <f>Q51*M51</f>
        <v>165.6</v>
      </c>
      <c r="S51" s="121"/>
    </row>
    <row r="52" spans="1:19" ht="16.5" hidden="1" outlineLevel="1" x14ac:dyDescent="0.25">
      <c r="A52" s="63" t="s">
        <v>80</v>
      </c>
      <c r="B52" s="54" t="s">
        <v>76</v>
      </c>
      <c r="C52" s="53" t="str">
        <f>IF(B52="","",VLOOKUP(B52,PRODUTOS!$A$4:D$994,2,0))</f>
        <v>KIT ALUMÍNIO</v>
      </c>
      <c r="D52" s="56">
        <v>1</v>
      </c>
      <c r="E52" s="57"/>
      <c r="F52" s="69"/>
      <c r="G52" s="70" t="s">
        <v>72</v>
      </c>
      <c r="H52" s="71">
        <v>1</v>
      </c>
      <c r="I52" s="55"/>
      <c r="J52" s="58"/>
      <c r="K52" s="58">
        <f>IF(D52&lt;1,0,IF(B52="",0,(VLOOKUP(B52,PRODUTOS!$A$4:D$994,4,0))))</f>
        <v>85</v>
      </c>
      <c r="L52" s="58"/>
      <c r="M52" s="58">
        <f>K52*H52</f>
        <v>85</v>
      </c>
      <c r="O52" s="59">
        <f t="shared" ref="O52:O55" si="25">M52-R52</f>
        <v>85</v>
      </c>
      <c r="P52" s="59"/>
      <c r="Q52" s="61"/>
      <c r="R52" s="60"/>
      <c r="S52" s="121"/>
    </row>
    <row r="53" spans="1:19" ht="16.5" hidden="1" outlineLevel="1" x14ac:dyDescent="0.25">
      <c r="A53" s="63" t="s">
        <v>74</v>
      </c>
      <c r="B53" s="54" t="s">
        <v>28</v>
      </c>
      <c r="C53" s="53" t="str">
        <f>IF(B53="","",VLOOKUP(B53,PRODUTOS!$A$4:D$994,2,0))</f>
        <v>PUXADOR INOX 40CM</v>
      </c>
      <c r="D53" s="56">
        <v>2</v>
      </c>
      <c r="E53" s="57" t="s">
        <v>5</v>
      </c>
      <c r="F53" s="69"/>
      <c r="G53" s="70" t="s">
        <v>72</v>
      </c>
      <c r="H53" s="71"/>
      <c r="I53" s="55">
        <f t="shared" ref="I53:I54" si="26">IF(E53&lt;&gt;"M²",0,H53*F53*D53)</f>
        <v>0</v>
      </c>
      <c r="J53" s="58"/>
      <c r="K53" s="58"/>
      <c r="L53" s="58">
        <f>IF(B53="",0,(VLOOKUP(B53,PRODUTOS!$A$4:D$994,4,0)))*D53</f>
        <v>100</v>
      </c>
      <c r="M53" s="58">
        <f>L53</f>
        <v>100</v>
      </c>
      <c r="O53" s="59">
        <f t="shared" si="25"/>
        <v>100</v>
      </c>
      <c r="P53" s="59"/>
      <c r="Q53" s="61"/>
      <c r="R53" s="60"/>
      <c r="S53" s="121"/>
    </row>
    <row r="54" spans="1:19" ht="16.5" hidden="1" outlineLevel="1" x14ac:dyDescent="0.25">
      <c r="A54" s="63" t="s">
        <v>127</v>
      </c>
      <c r="B54" s="54" t="s">
        <v>125</v>
      </c>
      <c r="C54" s="53" t="str">
        <f>IF(B54="","",VLOOKUP(B54,PRODUTOS!$A$4:D$994,2,0))</f>
        <v>FECHADURA PORTA CORRER VV</v>
      </c>
      <c r="D54" s="56">
        <v>1</v>
      </c>
      <c r="E54" s="57" t="s">
        <v>5</v>
      </c>
      <c r="F54" s="69"/>
      <c r="G54" s="70" t="s">
        <v>72</v>
      </c>
      <c r="H54" s="71"/>
      <c r="I54" s="55">
        <f t="shared" si="26"/>
        <v>0</v>
      </c>
      <c r="J54" s="58"/>
      <c r="K54" s="58"/>
      <c r="L54" s="58">
        <f>IF(B54="",0,(VLOOKUP(B54,PRODUTOS!$A$4:D$994,4,0)))</f>
        <v>80</v>
      </c>
      <c r="M54" s="58">
        <f>IF(I54&lt;=0,D54*L54,(L54*I54))</f>
        <v>80</v>
      </c>
      <c r="O54" s="59">
        <f t="shared" si="25"/>
        <v>80</v>
      </c>
      <c r="P54" s="59"/>
      <c r="Q54" s="61"/>
      <c r="R54" s="60"/>
      <c r="S54" s="121"/>
    </row>
    <row r="55" spans="1:19" ht="17.25" hidden="1" customHeight="1" outlineLevel="1" x14ac:dyDescent="0.25">
      <c r="A55" s="63"/>
      <c r="B55" s="54"/>
      <c r="C55" s="53" t="str">
        <f>IF(B55="","",VLOOKUP(B55,PRODUTOS!$A$4:D$994,2,0))</f>
        <v/>
      </c>
      <c r="D55" s="56"/>
      <c r="E55" s="57"/>
      <c r="F55" s="69"/>
      <c r="G55" s="70" t="s">
        <v>72</v>
      </c>
      <c r="H55" s="71"/>
      <c r="I55" s="55"/>
      <c r="J55" s="58">
        <f>IF(B55="",0,(VLOOKUP(B55,PRODUTOS!$A$4:D$994,4,0)))</f>
        <v>0</v>
      </c>
      <c r="K55" s="58"/>
      <c r="L55" s="58"/>
      <c r="M55" s="58">
        <f>IF(I55&lt;=0,D55*J55,(J55*I55))</f>
        <v>0</v>
      </c>
      <c r="O55" s="59">
        <f t="shared" si="25"/>
        <v>0</v>
      </c>
      <c r="P55" s="59"/>
      <c r="Q55" s="61"/>
      <c r="R55" s="60"/>
      <c r="S55" s="121"/>
    </row>
    <row r="56" spans="1:19" hidden="1" outlineLevel="1" x14ac:dyDescent="0.2">
      <c r="Q56"/>
      <c r="S56" s="121"/>
    </row>
    <row r="57" spans="1:19" ht="16.5" collapsed="1" x14ac:dyDescent="0.25">
      <c r="B57" s="77" t="s">
        <v>131</v>
      </c>
      <c r="C57" s="53" t="s">
        <v>128</v>
      </c>
      <c r="D57" s="86">
        <v>1</v>
      </c>
      <c r="E57" s="57" t="s">
        <v>9</v>
      </c>
      <c r="F57" s="87">
        <v>1</v>
      </c>
      <c r="G57" s="88" t="s">
        <v>72</v>
      </c>
      <c r="H57" s="89">
        <v>1</v>
      </c>
      <c r="I57" s="55">
        <f>I51</f>
        <v>1</v>
      </c>
      <c r="J57" s="90">
        <f>J51</f>
        <v>360</v>
      </c>
      <c r="K57" s="90">
        <f>K52</f>
        <v>85</v>
      </c>
      <c r="L57" s="90">
        <f>L54+L53</f>
        <v>180</v>
      </c>
      <c r="M57" s="90">
        <f>SUM(M51:M55)*D57</f>
        <v>625</v>
      </c>
      <c r="O57" s="59">
        <f>SUM(O51:O55)</f>
        <v>459.4</v>
      </c>
      <c r="P57" s="59">
        <f>P51</f>
        <v>194.4</v>
      </c>
      <c r="Q57" s="61"/>
      <c r="R57" s="60">
        <f>SUM(R51:R55)</f>
        <v>165.6</v>
      </c>
      <c r="S57" s="124"/>
    </row>
    <row r="58" spans="1:19" ht="5.25" customHeight="1" x14ac:dyDescent="0.2">
      <c r="A58" s="121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2"/>
      <c r="R58" s="121"/>
      <c r="S58" s="121"/>
    </row>
    <row r="59" spans="1:19" ht="16.5" hidden="1" outlineLevel="1" x14ac:dyDescent="0.25">
      <c r="A59" s="63" t="s">
        <v>73</v>
      </c>
      <c r="B59" s="54" t="s">
        <v>64</v>
      </c>
      <c r="C59" s="53" t="str">
        <f>IF(B59="","",VLOOKUP(B59,PRODUTOS!$A$4:D$994,2,0))</f>
        <v>VIDRO VERDE / FUMÊ 8mm</v>
      </c>
      <c r="D59" s="56">
        <v>1</v>
      </c>
      <c r="E59" s="67" t="s">
        <v>9</v>
      </c>
      <c r="F59" s="69">
        <f>F65</f>
        <v>1</v>
      </c>
      <c r="G59" s="70" t="s">
        <v>72</v>
      </c>
      <c r="H59" s="71">
        <f>H65</f>
        <v>1</v>
      </c>
      <c r="I59" s="68">
        <f>H59*F59*D59</f>
        <v>1</v>
      </c>
      <c r="J59" s="58">
        <f>IF(B59="",0,(VLOOKUP(B59,PRODUTOS!$A$4:D$994,4,0)))</f>
        <v>460</v>
      </c>
      <c r="K59" s="58"/>
      <c r="L59" s="58"/>
      <c r="M59" s="58">
        <f>IF(I59&lt;=0,D59*J59,(J59*I59))</f>
        <v>460</v>
      </c>
      <c r="O59" s="59">
        <f>M59-R59</f>
        <v>248.39999999999998</v>
      </c>
      <c r="P59" s="59">
        <f>O59</f>
        <v>248.39999999999998</v>
      </c>
      <c r="Q59" s="61">
        <v>0.46</v>
      </c>
      <c r="R59" s="60">
        <f>Q59*M59</f>
        <v>211.60000000000002</v>
      </c>
      <c r="S59" s="121"/>
    </row>
    <row r="60" spans="1:19" ht="16.5" hidden="1" outlineLevel="1" x14ac:dyDescent="0.25">
      <c r="A60" s="63" t="s">
        <v>80</v>
      </c>
      <c r="B60" s="54" t="s">
        <v>76</v>
      </c>
      <c r="C60" s="53" t="str">
        <f>IF(B60="","",VLOOKUP(B60,PRODUTOS!$A$4:D$994,2,0))</f>
        <v>KIT ALUMÍNIO</v>
      </c>
      <c r="D60" s="56">
        <v>1</v>
      </c>
      <c r="E60" s="57"/>
      <c r="F60" s="69"/>
      <c r="G60" s="70" t="s">
        <v>72</v>
      </c>
      <c r="H60" s="71">
        <v>1</v>
      </c>
      <c r="I60" s="55"/>
      <c r="J60" s="58"/>
      <c r="K60" s="58">
        <f>IF(D60&lt;1,0,IF(B60="",0,(VLOOKUP(B60,PRODUTOS!$A$4:D$994,4,0))))</f>
        <v>85</v>
      </c>
      <c r="L60" s="58"/>
      <c r="M60" s="58">
        <f>K60*H60</f>
        <v>85</v>
      </c>
      <c r="O60" s="59">
        <f>M60</f>
        <v>85</v>
      </c>
      <c r="P60" s="59"/>
      <c r="Q60" s="61"/>
      <c r="R60" s="60"/>
      <c r="S60" s="121"/>
    </row>
    <row r="61" spans="1:19" ht="16.5" hidden="1" outlineLevel="1" x14ac:dyDescent="0.25">
      <c r="A61" s="63" t="s">
        <v>74</v>
      </c>
      <c r="B61" s="54" t="s">
        <v>28</v>
      </c>
      <c r="C61" s="53" t="str">
        <f>IF(B61="","",VLOOKUP(B61,PRODUTOS!$A$4:D$994,2,0))</f>
        <v>PUXADOR INOX 40CM</v>
      </c>
      <c r="D61" s="56">
        <v>2</v>
      </c>
      <c r="E61" s="57" t="s">
        <v>5</v>
      </c>
      <c r="F61" s="69"/>
      <c r="G61" s="70" t="s">
        <v>72</v>
      </c>
      <c r="H61" s="71"/>
      <c r="I61" s="55">
        <f t="shared" ref="I61:I62" si="27">IF(E61&lt;&gt;"M²",0,H61*F61*D61)</f>
        <v>0</v>
      </c>
      <c r="J61" s="58"/>
      <c r="K61" s="58"/>
      <c r="L61" s="58">
        <f>IF(B61="",0,(VLOOKUP(B61,PRODUTOS!$A$4:D$994,4,0)))*D61</f>
        <v>100</v>
      </c>
      <c r="M61" s="58">
        <f>L61</f>
        <v>100</v>
      </c>
      <c r="O61" s="59">
        <f>M61</f>
        <v>100</v>
      </c>
      <c r="P61" s="59"/>
      <c r="Q61" s="61"/>
      <c r="R61" s="60">
        <f>Q61*M61</f>
        <v>0</v>
      </c>
      <c r="S61" s="121"/>
    </row>
    <row r="62" spans="1:19" ht="16.5" hidden="1" outlineLevel="1" x14ac:dyDescent="0.25">
      <c r="A62" s="63" t="s">
        <v>127</v>
      </c>
      <c r="B62" s="54" t="s">
        <v>125</v>
      </c>
      <c r="C62" s="53" t="str">
        <f>IF(B62="","",VLOOKUP(B62,PRODUTOS!$A$4:D$994,2,0))</f>
        <v>FECHADURA PORTA CORRER VV</v>
      </c>
      <c r="D62" s="56">
        <v>1</v>
      </c>
      <c r="E62" s="57" t="s">
        <v>5</v>
      </c>
      <c r="F62" s="69"/>
      <c r="G62" s="70" t="s">
        <v>72</v>
      </c>
      <c r="H62" s="71"/>
      <c r="I62" s="55">
        <f t="shared" si="27"/>
        <v>0</v>
      </c>
      <c r="J62" s="58"/>
      <c r="K62" s="58"/>
      <c r="L62" s="58">
        <f>IF(B62="",0,(VLOOKUP(B62,PRODUTOS!$A$4:D$994,4,0)))</f>
        <v>80</v>
      </c>
      <c r="M62" s="58">
        <f>IF(I62&lt;=0,D62*L62,(L62*I62))</f>
        <v>80</v>
      </c>
      <c r="O62" s="59">
        <f>M62</f>
        <v>80</v>
      </c>
      <c r="P62" s="59"/>
      <c r="Q62" s="61"/>
      <c r="R62" s="60"/>
      <c r="S62" s="121"/>
    </row>
    <row r="63" spans="1:19" ht="17.25" hidden="1" customHeight="1" outlineLevel="1" x14ac:dyDescent="0.25">
      <c r="A63" s="63"/>
      <c r="B63" s="54"/>
      <c r="C63" s="53" t="str">
        <f>IF(B63="","",VLOOKUP(B63,PRODUTOS!$A$4:D$994,2,0))</f>
        <v/>
      </c>
      <c r="D63" s="56"/>
      <c r="E63" s="57"/>
      <c r="F63" s="69"/>
      <c r="G63" s="70" t="s">
        <v>72</v>
      </c>
      <c r="H63" s="71"/>
      <c r="I63" s="55"/>
      <c r="J63" s="58">
        <f>IF(B63="",0,(VLOOKUP(B63,PRODUTOS!$A$4:D$994,4,0)))</f>
        <v>0</v>
      </c>
      <c r="K63" s="58"/>
      <c r="L63" s="58"/>
      <c r="M63" s="58">
        <f>IF(I63&lt;=0,D63*J63,(J63*I63))</f>
        <v>0</v>
      </c>
      <c r="O63" s="59">
        <f>M63</f>
        <v>0</v>
      </c>
      <c r="P63" s="59"/>
      <c r="Q63" s="61"/>
      <c r="R63" s="60"/>
      <c r="S63" s="121"/>
    </row>
    <row r="64" spans="1:19" hidden="1" outlineLevel="1" x14ac:dyDescent="0.2">
      <c r="Q64"/>
      <c r="S64" s="121"/>
    </row>
    <row r="65" spans="1:19" ht="16.5" collapsed="1" x14ac:dyDescent="0.25">
      <c r="B65" s="77" t="s">
        <v>132</v>
      </c>
      <c r="C65" s="53" t="s">
        <v>133</v>
      </c>
      <c r="D65" s="86">
        <v>1</v>
      </c>
      <c r="E65" s="57" t="s">
        <v>9</v>
      </c>
      <c r="F65" s="87">
        <v>1</v>
      </c>
      <c r="G65" s="88" t="s">
        <v>72</v>
      </c>
      <c r="H65" s="89">
        <v>1</v>
      </c>
      <c r="I65" s="55">
        <f>I59</f>
        <v>1</v>
      </c>
      <c r="J65" s="90">
        <f>J59</f>
        <v>460</v>
      </c>
      <c r="K65" s="90">
        <f>K60</f>
        <v>85</v>
      </c>
      <c r="L65" s="90">
        <f>L62+L61</f>
        <v>180</v>
      </c>
      <c r="M65" s="90">
        <f>SUM(M59:M63)*D65</f>
        <v>725</v>
      </c>
      <c r="O65" s="59">
        <f>SUM(O59:O63)</f>
        <v>513.4</v>
      </c>
      <c r="P65" s="59">
        <f>P59</f>
        <v>248.39999999999998</v>
      </c>
      <c r="Q65" s="61"/>
      <c r="R65" s="60">
        <f>SUM(R59:R63)</f>
        <v>211.60000000000002</v>
      </c>
      <c r="S65" s="124"/>
    </row>
    <row r="66" spans="1:19" ht="5.25" customHeight="1" x14ac:dyDescent="0.2">
      <c r="A66" s="121"/>
      <c r="B66" s="121"/>
      <c r="C66" s="121"/>
      <c r="D66" s="121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1"/>
      <c r="P66" s="121"/>
      <c r="Q66" s="122"/>
      <c r="R66" s="121"/>
      <c r="S66" s="121"/>
    </row>
    <row r="67" spans="1:19" ht="16.5" outlineLevel="1" x14ac:dyDescent="0.25">
      <c r="A67" s="63" t="s">
        <v>73</v>
      </c>
      <c r="B67" s="54" t="s">
        <v>65</v>
      </c>
      <c r="C67" s="53" t="str">
        <f>IF(B67="","",VLOOKUP(B67,PRODUTOS!$A$4:D$994,2,0))</f>
        <v>VIDRO INCOLOR 8mm</v>
      </c>
      <c r="D67" s="56">
        <v>1</v>
      </c>
      <c r="E67" s="67" t="s">
        <v>9</v>
      </c>
      <c r="F67" s="69">
        <f>F73</f>
        <v>1</v>
      </c>
      <c r="G67" s="70" t="s">
        <v>72</v>
      </c>
      <c r="H67" s="71">
        <f>H73</f>
        <v>1</v>
      </c>
      <c r="I67" s="68">
        <f>H67*F67*D67</f>
        <v>1</v>
      </c>
      <c r="J67" s="58">
        <f>IF(B67="",0,(VLOOKUP(B67,PRODUTOS!$A$4:D$994,4,0)))</f>
        <v>360</v>
      </c>
      <c r="K67" s="58"/>
      <c r="L67" s="58"/>
      <c r="M67" s="58">
        <f>IF(I67&lt;=0,D67*J67,(J67*I67))</f>
        <v>360</v>
      </c>
      <c r="O67" s="59">
        <f>M67-R67</f>
        <v>194.4</v>
      </c>
      <c r="P67" s="59">
        <f>O67</f>
        <v>194.4</v>
      </c>
      <c r="Q67" s="61">
        <v>0.46</v>
      </c>
      <c r="R67" s="60">
        <f>Q67*M67</f>
        <v>165.6</v>
      </c>
      <c r="S67" s="121"/>
    </row>
    <row r="68" spans="1:19" ht="16.5" outlineLevel="1" x14ac:dyDescent="0.25">
      <c r="A68" s="63" t="s">
        <v>81</v>
      </c>
      <c r="B68" s="54" t="s">
        <v>120</v>
      </c>
      <c r="C68" s="53" t="str">
        <f>IF(B68="","",VLOOKUP(B68,PRODUTOS!$A$4:D$994,2,0))</f>
        <v>KIT ALUMÍNIO EXTERNO</v>
      </c>
      <c r="D68" s="56">
        <v>1</v>
      </c>
      <c r="E68" s="57"/>
      <c r="F68" s="69"/>
      <c r="G68" s="70" t="s">
        <v>72</v>
      </c>
      <c r="H68" s="71">
        <v>1</v>
      </c>
      <c r="I68" s="55"/>
      <c r="J68" s="58"/>
      <c r="K68" s="58">
        <f>IF(D68&lt;1,0,IF(B68="",0,(VLOOKUP(B68,PRODUTOS!$A$4:D$994,4,0))))</f>
        <v>120</v>
      </c>
      <c r="L68" s="58"/>
      <c r="M68" s="58">
        <f>K68*H68</f>
        <v>120</v>
      </c>
      <c r="O68" s="59">
        <f>M68</f>
        <v>120</v>
      </c>
      <c r="P68" s="59"/>
      <c r="Q68" s="61"/>
      <c r="R68" s="60"/>
      <c r="S68" s="121"/>
    </row>
    <row r="69" spans="1:19" ht="16.5" outlineLevel="1" x14ac:dyDescent="0.25">
      <c r="A69" s="63" t="s">
        <v>74</v>
      </c>
      <c r="B69" s="54" t="s">
        <v>28</v>
      </c>
      <c r="C69" s="53" t="str">
        <f>IF(B69="","",VLOOKUP(B69,PRODUTOS!$A$4:D$994,2,0))</f>
        <v>PUXADOR INOX 40CM</v>
      </c>
      <c r="D69" s="56">
        <v>1</v>
      </c>
      <c r="E69" s="57" t="s">
        <v>5</v>
      </c>
      <c r="F69" s="69"/>
      <c r="G69" s="70" t="s">
        <v>72</v>
      </c>
      <c r="H69" s="71"/>
      <c r="I69" s="55">
        <f t="shared" ref="I69:I70" si="28">IF(E69&lt;&gt;"M²",0,H69*F69*D69)</f>
        <v>0</v>
      </c>
      <c r="J69" s="58"/>
      <c r="K69" s="58"/>
      <c r="L69" s="58">
        <f>IF(B69="",0,(VLOOKUP(B69,PRODUTOS!$A$4:D$994,4,0)))*D69</f>
        <v>50</v>
      </c>
      <c r="M69" s="58">
        <f>L69</f>
        <v>50</v>
      </c>
      <c r="O69" s="59">
        <f t="shared" ref="O69:O71" si="29">M69</f>
        <v>50</v>
      </c>
      <c r="P69" s="59"/>
      <c r="Q69" s="61"/>
      <c r="R69" s="60">
        <f>Q69*M69</f>
        <v>0</v>
      </c>
      <c r="S69" s="121"/>
    </row>
    <row r="70" spans="1:19" ht="16.5" outlineLevel="1" x14ac:dyDescent="0.25">
      <c r="A70" s="63" t="s">
        <v>127</v>
      </c>
      <c r="B70" s="54" t="s">
        <v>124</v>
      </c>
      <c r="C70" s="53" t="str">
        <f>IF(B70="","",VLOOKUP(B70,PRODUTOS!$A$4:D$994,2,0))</f>
        <v>FECHADURA PORTA CORRER VA</v>
      </c>
      <c r="D70" s="56">
        <v>1</v>
      </c>
      <c r="E70" s="57" t="s">
        <v>5</v>
      </c>
      <c r="F70" s="69"/>
      <c r="G70" s="70" t="s">
        <v>72</v>
      </c>
      <c r="H70" s="71"/>
      <c r="I70" s="55">
        <f t="shared" si="28"/>
        <v>0</v>
      </c>
      <c r="J70" s="58"/>
      <c r="K70" s="58"/>
      <c r="L70" s="58">
        <f>IF(B70="",0,(VLOOKUP(B70,PRODUTOS!$A$4:D$994,4,0)))</f>
        <v>70</v>
      </c>
      <c r="M70" s="58">
        <f>IF(I70&lt;=0,D70*L70,(L70*I70))</f>
        <v>70</v>
      </c>
      <c r="O70" s="59">
        <f t="shared" si="29"/>
        <v>70</v>
      </c>
      <c r="P70" s="59"/>
      <c r="Q70" s="61"/>
      <c r="R70" s="60"/>
      <c r="S70" s="121"/>
    </row>
    <row r="71" spans="1:19" ht="17.25" customHeight="1" outlineLevel="1" x14ac:dyDescent="0.25">
      <c r="A71" s="63" t="s">
        <v>138</v>
      </c>
      <c r="B71" s="54" t="s">
        <v>23</v>
      </c>
      <c r="C71" s="53" t="str">
        <f>IF(B71="","",VLOOKUP(B71,PRODUTOS!$A$4:D$994,2,0))</f>
        <v>BATEDOR PORTA DE CORRER</v>
      </c>
      <c r="D71" s="56">
        <v>1</v>
      </c>
      <c r="E71" s="57"/>
      <c r="F71" s="69"/>
      <c r="G71" s="70" t="s">
        <v>72</v>
      </c>
      <c r="H71" s="71"/>
      <c r="I71" s="55"/>
      <c r="J71" s="58"/>
      <c r="K71" s="58"/>
      <c r="L71" s="58">
        <f>IF(B71="",0,(VLOOKUP(B71,PRODUTOS!$A$4:D$994,4,0)))</f>
        <v>55</v>
      </c>
      <c r="M71" s="58">
        <f>IF(I71&lt;=0,D71*L71,(L71*I71))</f>
        <v>55</v>
      </c>
      <c r="O71" s="59">
        <f t="shared" si="29"/>
        <v>55</v>
      </c>
      <c r="P71" s="59"/>
      <c r="Q71" s="61"/>
      <c r="R71" s="60"/>
      <c r="S71" s="121"/>
    </row>
    <row r="72" spans="1:19" outlineLevel="1" x14ac:dyDescent="0.2">
      <c r="Q72"/>
      <c r="S72" s="121"/>
    </row>
    <row r="73" spans="1:19" ht="16.5" x14ac:dyDescent="0.25">
      <c r="B73" s="77" t="s">
        <v>135</v>
      </c>
      <c r="C73" s="53" t="s">
        <v>134</v>
      </c>
      <c r="D73" s="86">
        <v>1</v>
      </c>
      <c r="E73" s="57" t="s">
        <v>9</v>
      </c>
      <c r="F73" s="87">
        <v>1</v>
      </c>
      <c r="G73" s="88" t="s">
        <v>72</v>
      </c>
      <c r="H73" s="89">
        <v>1</v>
      </c>
      <c r="I73" s="55">
        <f>I67</f>
        <v>1</v>
      </c>
      <c r="J73" s="90">
        <f>J67</f>
        <v>360</v>
      </c>
      <c r="K73" s="90">
        <f>K68</f>
        <v>120</v>
      </c>
      <c r="L73" s="90">
        <f>L70+L69+L71</f>
        <v>175</v>
      </c>
      <c r="M73" s="90">
        <f>SUM(M67:M71)*D73</f>
        <v>655</v>
      </c>
      <c r="O73" s="59">
        <f>SUM(O67:O71)</f>
        <v>489.4</v>
      </c>
      <c r="P73" s="59">
        <f>P67</f>
        <v>194.4</v>
      </c>
      <c r="Q73" s="61"/>
      <c r="R73" s="60">
        <f>SUM(R67:R71)</f>
        <v>165.6</v>
      </c>
      <c r="S73" s="124"/>
    </row>
    <row r="74" spans="1:19" ht="5.25" customHeight="1" x14ac:dyDescent="0.2">
      <c r="A74" s="121"/>
      <c r="B74" s="121"/>
      <c r="C74" s="121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  <c r="P74" s="121"/>
      <c r="Q74" s="122"/>
      <c r="R74" s="121"/>
      <c r="S74" s="121"/>
    </row>
    <row r="75" spans="1:19" ht="16.5" hidden="1" outlineLevel="1" x14ac:dyDescent="0.25">
      <c r="A75" s="63" t="s">
        <v>73</v>
      </c>
      <c r="B75" s="54" t="s">
        <v>64</v>
      </c>
      <c r="C75" s="53" t="str">
        <f>IF(B75="","",VLOOKUP(B75,PRODUTOS!$A$4:D$994,2,0))</f>
        <v>VIDRO VERDE / FUMÊ 8mm</v>
      </c>
      <c r="D75" s="56">
        <v>1</v>
      </c>
      <c r="E75" s="67" t="s">
        <v>9</v>
      </c>
      <c r="F75" s="69">
        <f>F81</f>
        <v>1</v>
      </c>
      <c r="G75" s="70" t="s">
        <v>72</v>
      </c>
      <c r="H75" s="71">
        <f>H81</f>
        <v>1</v>
      </c>
      <c r="I75" s="68">
        <f>H75*F75*D75</f>
        <v>1</v>
      </c>
      <c r="J75" s="58">
        <f>IF(B75="",0,(VLOOKUP(B75,PRODUTOS!$A$4:D$994,4,0)))</f>
        <v>460</v>
      </c>
      <c r="K75" s="58"/>
      <c r="L75" s="58"/>
      <c r="M75" s="58">
        <f>IF(I75&lt;=0,D75*J75,(J75*I75))</f>
        <v>460</v>
      </c>
      <c r="O75" s="59">
        <f>M75-R75</f>
        <v>248.39999999999998</v>
      </c>
      <c r="P75" s="59">
        <f>O75</f>
        <v>248.39999999999998</v>
      </c>
      <c r="Q75" s="61">
        <v>0.46</v>
      </c>
      <c r="R75" s="60">
        <f>Q75*M75</f>
        <v>211.60000000000002</v>
      </c>
      <c r="S75" s="121"/>
    </row>
    <row r="76" spans="1:19" ht="16.5" hidden="1" outlineLevel="1" x14ac:dyDescent="0.25">
      <c r="A76" s="63" t="s">
        <v>81</v>
      </c>
      <c r="B76" s="54" t="s">
        <v>120</v>
      </c>
      <c r="C76" s="53" t="str">
        <f>IF(B76="","",VLOOKUP(B76,PRODUTOS!$A$4:D$994,2,0))</f>
        <v>KIT ALUMÍNIO EXTERNO</v>
      </c>
      <c r="D76" s="56">
        <v>1</v>
      </c>
      <c r="E76" s="57"/>
      <c r="F76" s="69"/>
      <c r="G76" s="70" t="s">
        <v>72</v>
      </c>
      <c r="H76" s="71">
        <v>1</v>
      </c>
      <c r="I76" s="55"/>
      <c r="J76" s="58"/>
      <c r="K76" s="58">
        <f>IF(D76&lt;1,0,IF(B76="",0,(VLOOKUP(B76,PRODUTOS!$A$4:D$994,4,0))))</f>
        <v>120</v>
      </c>
      <c r="L76" s="58"/>
      <c r="M76" s="58">
        <f>K76*H76</f>
        <v>120</v>
      </c>
      <c r="O76" s="59">
        <f>M76</f>
        <v>120</v>
      </c>
      <c r="P76" s="59"/>
      <c r="Q76" s="61"/>
      <c r="R76" s="60"/>
      <c r="S76" s="121"/>
    </row>
    <row r="77" spans="1:19" ht="16.5" hidden="1" outlineLevel="1" x14ac:dyDescent="0.25">
      <c r="A77" s="63" t="s">
        <v>74</v>
      </c>
      <c r="B77" s="54" t="s">
        <v>28</v>
      </c>
      <c r="C77" s="53" t="str">
        <f>IF(B77="","",VLOOKUP(B77,PRODUTOS!$A$4:D$994,2,0))</f>
        <v>PUXADOR INOX 40CM</v>
      </c>
      <c r="D77" s="56">
        <v>1</v>
      </c>
      <c r="E77" s="57" t="s">
        <v>5</v>
      </c>
      <c r="F77" s="69"/>
      <c r="G77" s="70" t="s">
        <v>72</v>
      </c>
      <c r="H77" s="71"/>
      <c r="I77" s="55">
        <f t="shared" ref="I77:I78" si="30">IF(E77&lt;&gt;"M²",0,H77*F77*D77)</f>
        <v>0</v>
      </c>
      <c r="J77" s="58"/>
      <c r="K77" s="58"/>
      <c r="L77" s="58">
        <f>IF(B77="",0,(VLOOKUP(B77,PRODUTOS!$A$4:D$994,4,0)))*D77</f>
        <v>50</v>
      </c>
      <c r="M77" s="58">
        <f>L77</f>
        <v>50</v>
      </c>
      <c r="O77" s="59">
        <f t="shared" ref="O77:O79" si="31">M77</f>
        <v>50</v>
      </c>
      <c r="P77" s="59"/>
      <c r="Q77" s="61"/>
      <c r="R77" s="60">
        <f>Q77*M77</f>
        <v>0</v>
      </c>
      <c r="S77" s="121"/>
    </row>
    <row r="78" spans="1:19" ht="16.5" hidden="1" outlineLevel="1" x14ac:dyDescent="0.25">
      <c r="A78" s="63" t="s">
        <v>127</v>
      </c>
      <c r="B78" s="54" t="s">
        <v>124</v>
      </c>
      <c r="C78" s="53" t="str">
        <f>IF(B78="","",VLOOKUP(B78,PRODUTOS!$A$4:D$994,2,0))</f>
        <v>FECHADURA PORTA CORRER VA</v>
      </c>
      <c r="D78" s="56">
        <v>1</v>
      </c>
      <c r="E78" s="57" t="s">
        <v>5</v>
      </c>
      <c r="F78" s="69"/>
      <c r="G78" s="70" t="s">
        <v>72</v>
      </c>
      <c r="H78" s="71"/>
      <c r="I78" s="55">
        <f t="shared" si="30"/>
        <v>0</v>
      </c>
      <c r="J78" s="58"/>
      <c r="K78" s="58"/>
      <c r="L78" s="58">
        <f>IF(B78="",0,(VLOOKUP(B78,PRODUTOS!$A$4:D$994,4,0)))</f>
        <v>70</v>
      </c>
      <c r="M78" s="58">
        <f>IF(I78&lt;=0,D78*L78,(L78*I78))</f>
        <v>70</v>
      </c>
      <c r="O78" s="59">
        <f t="shared" si="31"/>
        <v>70</v>
      </c>
      <c r="P78" s="59"/>
      <c r="Q78" s="61"/>
      <c r="R78" s="60"/>
      <c r="S78" s="121"/>
    </row>
    <row r="79" spans="1:19" ht="17.25" hidden="1" customHeight="1" outlineLevel="1" x14ac:dyDescent="0.25">
      <c r="A79" s="63" t="s">
        <v>138</v>
      </c>
      <c r="B79" s="54" t="s">
        <v>23</v>
      </c>
      <c r="C79" s="53" t="str">
        <f>IF(B79="","",VLOOKUP(B79,PRODUTOS!$A$4:D$994,2,0))</f>
        <v>BATEDOR PORTA DE CORRER</v>
      </c>
      <c r="D79" s="56">
        <v>1</v>
      </c>
      <c r="E79" s="57"/>
      <c r="F79" s="69"/>
      <c r="G79" s="70" t="s">
        <v>72</v>
      </c>
      <c r="H79" s="71"/>
      <c r="I79" s="55"/>
      <c r="J79" s="58"/>
      <c r="K79" s="58"/>
      <c r="L79" s="58">
        <f>IF(B79="",0,(VLOOKUP(B79,PRODUTOS!$A$4:D$994,4,0)))</f>
        <v>55</v>
      </c>
      <c r="M79" s="58">
        <f>IF(I79&lt;=0,D79*L79,(L79*I79))</f>
        <v>55</v>
      </c>
      <c r="O79" s="59">
        <f t="shared" si="31"/>
        <v>55</v>
      </c>
      <c r="P79" s="59"/>
      <c r="Q79" s="61"/>
      <c r="R79" s="60"/>
      <c r="S79" s="121"/>
    </row>
    <row r="80" spans="1:19" hidden="1" outlineLevel="1" x14ac:dyDescent="0.2">
      <c r="Q80"/>
      <c r="S80" s="121"/>
    </row>
    <row r="81" spans="1:19" ht="16.5" collapsed="1" x14ac:dyDescent="0.25">
      <c r="B81" s="77" t="s">
        <v>136</v>
      </c>
      <c r="C81" s="53" t="s">
        <v>137</v>
      </c>
      <c r="D81" s="86">
        <v>1</v>
      </c>
      <c r="E81" s="57" t="s">
        <v>9</v>
      </c>
      <c r="F81" s="87">
        <v>1</v>
      </c>
      <c r="G81" s="88" t="s">
        <v>72</v>
      </c>
      <c r="H81" s="89">
        <v>1</v>
      </c>
      <c r="I81" s="55">
        <f>I75</f>
        <v>1</v>
      </c>
      <c r="J81" s="90">
        <f>J75</f>
        <v>460</v>
      </c>
      <c r="K81" s="90">
        <f>K76</f>
        <v>120</v>
      </c>
      <c r="L81" s="90">
        <f>L78+L77+L79</f>
        <v>175</v>
      </c>
      <c r="M81" s="90">
        <f>SUM(M75:M79)*D81</f>
        <v>755</v>
      </c>
      <c r="O81" s="59">
        <f>SUM(O75:O79)</f>
        <v>543.4</v>
      </c>
      <c r="P81" s="59">
        <f>P75</f>
        <v>248.39999999999998</v>
      </c>
      <c r="Q81" s="61"/>
      <c r="R81" s="60">
        <f>SUM(R75:R79)</f>
        <v>211.60000000000002</v>
      </c>
      <c r="S81" s="124"/>
    </row>
    <row r="82" spans="1:19" ht="5.25" customHeight="1" x14ac:dyDescent="0.2">
      <c r="A82" s="121"/>
      <c r="B82" s="121"/>
      <c r="C82" s="121"/>
      <c r="D82" s="121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1"/>
      <c r="P82" s="121"/>
      <c r="Q82" s="122"/>
      <c r="R82" s="121"/>
      <c r="S82" s="121"/>
    </row>
    <row r="83" spans="1:19" ht="16.5" hidden="1" outlineLevel="1" x14ac:dyDescent="0.25">
      <c r="A83" s="63" t="s">
        <v>73</v>
      </c>
      <c r="B83" s="54" t="s">
        <v>65</v>
      </c>
      <c r="C83" s="53" t="str">
        <f>IF(B83="","",VLOOKUP(B83,PRODUTOS!$A$4:D$994,2,0))</f>
        <v>VIDRO INCOLOR 8mm</v>
      </c>
      <c r="D83" s="56">
        <v>1</v>
      </c>
      <c r="E83" s="67" t="s">
        <v>9</v>
      </c>
      <c r="F83" s="69">
        <f>F87</f>
        <v>1</v>
      </c>
      <c r="G83" s="70" t="s">
        <v>72</v>
      </c>
      <c r="H83" s="71">
        <f>H87</f>
        <v>1</v>
      </c>
      <c r="I83" s="68">
        <f>H83*F83*D83</f>
        <v>1</v>
      </c>
      <c r="J83" s="58">
        <f>IF(B83="",0,(VLOOKUP(B83,PRODUTOS!$A$4:D$994,4,0)))</f>
        <v>360</v>
      </c>
      <c r="K83" s="58"/>
      <c r="L83" s="58"/>
      <c r="M83" s="58">
        <f>IF(I83&lt;=0,D83*J83,(J83*I83))</f>
        <v>360</v>
      </c>
      <c r="O83" s="59">
        <f>M83-R83</f>
        <v>194.4</v>
      </c>
      <c r="P83" s="59">
        <f>O83</f>
        <v>194.4</v>
      </c>
      <c r="Q83" s="61">
        <v>0.46</v>
      </c>
      <c r="R83" s="60">
        <f>Q83*M83</f>
        <v>165.6</v>
      </c>
      <c r="S83" s="121"/>
    </row>
    <row r="84" spans="1:19" ht="16.5" hidden="1" outlineLevel="1" x14ac:dyDescent="0.25">
      <c r="A84" s="63" t="s">
        <v>80</v>
      </c>
      <c r="B84" s="54" t="s">
        <v>76</v>
      </c>
      <c r="C84" s="53" t="str">
        <f>IF(B84="","",VLOOKUP(B84,PRODUTOS!$A$4:D$994,2,0))</f>
        <v>KIT ALUMÍNIO</v>
      </c>
      <c r="D84" s="56">
        <v>1</v>
      </c>
      <c r="E84" s="57" t="s">
        <v>63</v>
      </c>
      <c r="F84" s="69">
        <f>F87</f>
        <v>1</v>
      </c>
      <c r="G84" s="70" t="s">
        <v>72</v>
      </c>
      <c r="H84" s="71">
        <f>H87</f>
        <v>1</v>
      </c>
      <c r="I84" s="55">
        <f>IF(E84&lt;&gt;"M²",0,H84*F84*D84)</f>
        <v>0</v>
      </c>
      <c r="K84" s="58">
        <f>IF(B84="",0,(VLOOKUP(B84,PRODUTOS!$A$4:D$994,4,0)))</f>
        <v>85</v>
      </c>
      <c r="M84" s="58">
        <f>K84*H84</f>
        <v>85</v>
      </c>
      <c r="O84" s="59">
        <f t="shared" ref="O84" si="32">M84-R84</f>
        <v>85</v>
      </c>
      <c r="P84" s="59"/>
      <c r="Q84" s="61"/>
      <c r="R84" s="60">
        <f t="shared" ref="R84" si="33">Q84*M84</f>
        <v>0</v>
      </c>
      <c r="S84" s="121"/>
    </row>
    <row r="85" spans="1:19" ht="16.5" hidden="1" outlineLevel="1" x14ac:dyDescent="0.25">
      <c r="A85" s="63" t="s">
        <v>115</v>
      </c>
      <c r="B85" s="54" t="s">
        <v>114</v>
      </c>
      <c r="C85" s="53" t="str">
        <f>IF(B85="","",VLOOKUP(B85,PRODUTOS!$A$4:D$994,2,0))</f>
        <v>BATE FECHA JANELA</v>
      </c>
      <c r="D85" s="56"/>
      <c r="E85" s="57"/>
      <c r="F85" s="69"/>
      <c r="G85" s="70" t="s">
        <v>72</v>
      </c>
      <c r="H85" s="71">
        <v>1</v>
      </c>
      <c r="I85" s="55">
        <f t="shared" ref="I85" si="34">IF(E85&lt;&gt;"M²",0,H85*F85*D85)</f>
        <v>0</v>
      </c>
      <c r="L85" s="58">
        <f>IF(B85="",0,(VLOOKUP(B85,PRODUTOS!$A$4:D$994,4,0)))</f>
        <v>20</v>
      </c>
      <c r="M85" s="58">
        <f>L85*H85</f>
        <v>20</v>
      </c>
      <c r="O85" s="59">
        <f t="shared" ref="O85" si="35">M85-R85</f>
        <v>20</v>
      </c>
      <c r="P85" s="59"/>
      <c r="Q85" s="61"/>
      <c r="R85" s="60">
        <f t="shared" ref="R85" si="36">Q85*M85</f>
        <v>0</v>
      </c>
      <c r="S85" s="121"/>
    </row>
    <row r="86" spans="1:19" hidden="1" outlineLevel="1" x14ac:dyDescent="0.2">
      <c r="Q86"/>
      <c r="S86" s="121"/>
    </row>
    <row r="87" spans="1:19" ht="16.5" collapsed="1" x14ac:dyDescent="0.25">
      <c r="B87" s="84" t="s">
        <v>47</v>
      </c>
      <c r="C87" s="53" t="s">
        <v>144</v>
      </c>
      <c r="D87" s="96">
        <v>1</v>
      </c>
      <c r="E87" s="57" t="s">
        <v>9</v>
      </c>
      <c r="F87" s="97">
        <v>1</v>
      </c>
      <c r="G87" s="98" t="s">
        <v>72</v>
      </c>
      <c r="H87" s="99">
        <v>1</v>
      </c>
      <c r="I87" s="55">
        <f>I83</f>
        <v>1</v>
      </c>
      <c r="J87" s="100">
        <f>J83</f>
        <v>360</v>
      </c>
      <c r="K87" s="100">
        <f>K84</f>
        <v>85</v>
      </c>
      <c r="L87" s="100">
        <f>L85</f>
        <v>20</v>
      </c>
      <c r="M87" s="100">
        <f>SUM(M83:M85)*D87</f>
        <v>465</v>
      </c>
      <c r="O87" s="59">
        <f>SUM(O83:O85)</f>
        <v>299.39999999999998</v>
      </c>
      <c r="P87" s="59">
        <f>P83</f>
        <v>194.4</v>
      </c>
      <c r="Q87" s="61"/>
      <c r="R87" s="60">
        <f>SUM(R83:R85)</f>
        <v>165.6</v>
      </c>
      <c r="S87" s="124"/>
    </row>
    <row r="88" spans="1:19" ht="5.25" customHeight="1" x14ac:dyDescent="0.2">
      <c r="A88" s="121"/>
      <c r="B88" s="121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1"/>
      <c r="P88" s="121"/>
      <c r="Q88" s="122"/>
      <c r="R88" s="121"/>
      <c r="S88" s="121"/>
    </row>
    <row r="89" spans="1:19" ht="16.5" hidden="1" outlineLevel="1" x14ac:dyDescent="0.25">
      <c r="A89" s="63" t="s">
        <v>73</v>
      </c>
      <c r="B89" s="54" t="s">
        <v>64</v>
      </c>
      <c r="C89" s="53" t="str">
        <f>IF(B89="","",VLOOKUP(B89,PRODUTOS!$A$4:D$994,2,0))</f>
        <v>VIDRO VERDE / FUMÊ 8mm</v>
      </c>
      <c r="D89" s="56">
        <v>1</v>
      </c>
      <c r="E89" s="67" t="s">
        <v>9</v>
      </c>
      <c r="F89" s="69">
        <f>F93</f>
        <v>1</v>
      </c>
      <c r="G89" s="70" t="s">
        <v>72</v>
      </c>
      <c r="H89" s="71">
        <f>H93</f>
        <v>1</v>
      </c>
      <c r="I89" s="68">
        <f>H89*F89*D89</f>
        <v>1</v>
      </c>
      <c r="J89" s="58">
        <f>IF(B89="",0,(VLOOKUP(B89,PRODUTOS!$A$4:D$994,4,0)))</f>
        <v>460</v>
      </c>
      <c r="K89" s="58"/>
      <c r="L89" s="58"/>
      <c r="M89" s="58">
        <f>IF(I89&lt;=0,D89*J89,(J89*I89))</f>
        <v>460</v>
      </c>
      <c r="O89" s="59">
        <f>M89-R89</f>
        <v>248.39999999999998</v>
      </c>
      <c r="P89" s="59">
        <f>O89</f>
        <v>248.39999999999998</v>
      </c>
      <c r="Q89" s="61">
        <v>0.46</v>
      </c>
      <c r="R89" s="60">
        <f>Q89*M89</f>
        <v>211.60000000000002</v>
      </c>
      <c r="S89" s="121"/>
    </row>
    <row r="90" spans="1:19" ht="16.5" hidden="1" outlineLevel="1" x14ac:dyDescent="0.25">
      <c r="A90" s="63" t="s">
        <v>83</v>
      </c>
      <c r="B90" s="54" t="s">
        <v>76</v>
      </c>
      <c r="C90" s="53" t="str">
        <f>IF(B90="","",VLOOKUP(B90,PRODUTOS!$A$4:D$994,2,0))</f>
        <v>KIT ALUMÍNIO</v>
      </c>
      <c r="D90" s="56">
        <v>1</v>
      </c>
      <c r="E90" s="57" t="s">
        <v>63</v>
      </c>
      <c r="F90" s="69"/>
      <c r="G90" s="70" t="s">
        <v>72</v>
      </c>
      <c r="H90" s="71"/>
      <c r="I90" s="55">
        <f>IF(E90&lt;&gt;"M²",0,H90*F90*D90)</f>
        <v>0</v>
      </c>
      <c r="J90" s="58"/>
      <c r="K90" s="58">
        <f>IF(B90="",0,(VLOOKUP(B90,PRODUTOS!$A$4:D$994,4,0)))</f>
        <v>85</v>
      </c>
      <c r="L90" s="58"/>
      <c r="M90" s="58">
        <f>K90*D90</f>
        <v>85</v>
      </c>
      <c r="O90" s="59">
        <f>M90</f>
        <v>85</v>
      </c>
      <c r="P90" s="59"/>
      <c r="Q90" s="61"/>
      <c r="R90" s="60">
        <f t="shared" ref="R90:R91" si="37">Q90*M90</f>
        <v>0</v>
      </c>
      <c r="S90" s="121"/>
    </row>
    <row r="91" spans="1:19" ht="16.5" hidden="1" outlineLevel="1" x14ac:dyDescent="0.25">
      <c r="A91" s="63" t="s">
        <v>115</v>
      </c>
      <c r="B91" s="54" t="s">
        <v>114</v>
      </c>
      <c r="C91" s="53" t="str">
        <f>IF(B91="","",VLOOKUP(B91,PRODUTOS!$A$4:D$994,2,0))</f>
        <v>BATE FECHA JANELA</v>
      </c>
      <c r="D91" s="56">
        <v>1</v>
      </c>
      <c r="E91" s="57" t="s">
        <v>5</v>
      </c>
      <c r="F91" s="69"/>
      <c r="G91" s="70" t="s">
        <v>72</v>
      </c>
      <c r="H91" s="71"/>
      <c r="I91" s="55">
        <f t="shared" ref="I91" si="38">IF(E91&lt;&gt;"M²",0,H91*F91*D91)</f>
        <v>0</v>
      </c>
      <c r="J91" s="58"/>
      <c r="K91" s="58"/>
      <c r="L91" s="58">
        <f>IF(B91="",0,(VLOOKUP(B91,PRODUTOS!$A$4:D$994,4,0)))</f>
        <v>20</v>
      </c>
      <c r="M91" s="58">
        <f>IF(I91&lt;=0,D91*L91,(L91*I91))</f>
        <v>20</v>
      </c>
      <c r="O91" s="59">
        <f>M91</f>
        <v>20</v>
      </c>
      <c r="P91" s="59"/>
      <c r="Q91" s="61"/>
      <c r="R91" s="60">
        <f t="shared" si="37"/>
        <v>0</v>
      </c>
      <c r="S91" s="121"/>
    </row>
    <row r="92" spans="1:19" hidden="1" outlineLevel="1" x14ac:dyDescent="0.2">
      <c r="Q92"/>
      <c r="S92" s="121"/>
    </row>
    <row r="93" spans="1:19" ht="16.5" collapsed="1" x14ac:dyDescent="0.25">
      <c r="B93" s="84" t="s">
        <v>33</v>
      </c>
      <c r="C93" s="53" t="s">
        <v>116</v>
      </c>
      <c r="D93" s="96">
        <v>1</v>
      </c>
      <c r="E93" s="57" t="s">
        <v>9</v>
      </c>
      <c r="F93" s="97">
        <v>1</v>
      </c>
      <c r="G93" s="98" t="s">
        <v>72</v>
      </c>
      <c r="H93" s="99">
        <v>1</v>
      </c>
      <c r="I93" s="55">
        <f>I89</f>
        <v>1</v>
      </c>
      <c r="J93" s="100">
        <f>J89</f>
        <v>460</v>
      </c>
      <c r="K93" s="100">
        <f>K90</f>
        <v>85</v>
      </c>
      <c r="L93" s="100">
        <f>L91</f>
        <v>20</v>
      </c>
      <c r="M93" s="100">
        <f>SUM(M89:M91)*D93</f>
        <v>565</v>
      </c>
      <c r="O93" s="59">
        <f>SUM(O89:O91)</f>
        <v>353.4</v>
      </c>
      <c r="P93" s="59">
        <f>P89</f>
        <v>248.39999999999998</v>
      </c>
      <c r="Q93" s="61"/>
      <c r="R93" s="60">
        <f>SUM(R89:R91)</f>
        <v>211.60000000000002</v>
      </c>
      <c r="S93" s="124"/>
    </row>
    <row r="94" spans="1:19" ht="5.25" customHeight="1" x14ac:dyDescent="0.2">
      <c r="A94" s="121"/>
      <c r="B94" s="121"/>
      <c r="C94" s="121"/>
      <c r="D94" s="121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</row>
    <row r="95" spans="1:19" ht="16.5" hidden="1" outlineLevel="1" x14ac:dyDescent="0.25">
      <c r="A95" s="63" t="s">
        <v>73</v>
      </c>
      <c r="B95" s="54" t="s">
        <v>111</v>
      </c>
      <c r="C95" s="53" t="str">
        <f>IF(B95="","",VLOOKUP(B95,PRODUTOS!$A$4:D$994,2,0))</f>
        <v>VIDRO PIVOTANTE VERDE / FUMÊ G.</v>
      </c>
      <c r="D95" s="56">
        <v>1</v>
      </c>
      <c r="E95" s="67" t="s">
        <v>9</v>
      </c>
      <c r="F95" s="69">
        <f>F99</f>
        <v>1</v>
      </c>
      <c r="G95" s="70" t="s">
        <v>72</v>
      </c>
      <c r="H95" s="71">
        <f>H99</f>
        <v>1</v>
      </c>
      <c r="I95" s="68">
        <f>H95*F95*D95</f>
        <v>1</v>
      </c>
      <c r="J95" s="58">
        <f>IF(B95="",0,(VLOOKUP(B95,PRODUTOS!$A$4:D$994,4,0)))</f>
        <v>550</v>
      </c>
      <c r="K95" s="58"/>
      <c r="L95" s="58"/>
      <c r="M95" s="58">
        <f>IF(I95&lt;=0,D95*J95,(J95*I95))</f>
        <v>550</v>
      </c>
      <c r="O95" s="59">
        <f>M95-R95</f>
        <v>297</v>
      </c>
      <c r="P95" s="59">
        <f>O95</f>
        <v>297</v>
      </c>
      <c r="Q95" s="61">
        <v>0.46</v>
      </c>
      <c r="R95" s="60">
        <f>Q95*M95</f>
        <v>253</v>
      </c>
      <c r="S95" s="121"/>
    </row>
    <row r="96" spans="1:19" ht="16.5" hidden="1" outlineLevel="1" x14ac:dyDescent="0.25">
      <c r="A96" s="63" t="s">
        <v>83</v>
      </c>
      <c r="B96" s="54" t="s">
        <v>22</v>
      </c>
      <c r="C96" s="53" t="str">
        <f>IF(B96="","",VLOOKUP(B96,PRODUTOS!$A$4:D$994,2,0))</f>
        <v>KIT PIVOTANTE</v>
      </c>
      <c r="D96" s="56">
        <v>1</v>
      </c>
      <c r="E96" s="57" t="s">
        <v>5</v>
      </c>
      <c r="F96" s="69"/>
      <c r="G96" s="70" t="s">
        <v>72</v>
      </c>
      <c r="H96" s="71"/>
      <c r="I96" s="55">
        <f>IF(E96&lt;&gt;"M²",0,H96*F96*D96)</f>
        <v>0</v>
      </c>
      <c r="K96" s="58"/>
      <c r="L96" s="58">
        <f>IF(B96="",0,(VLOOKUP(B96,PRODUTOS!$A$4:D$994,4,0)))</f>
        <v>55</v>
      </c>
      <c r="M96" s="58">
        <f>L96*D96</f>
        <v>55</v>
      </c>
      <c r="O96" s="59">
        <f>M96</f>
        <v>55</v>
      </c>
      <c r="P96" s="59"/>
      <c r="Q96" s="61"/>
      <c r="R96" s="60">
        <f t="shared" ref="R96:R97" si="39">Q96*M96</f>
        <v>0</v>
      </c>
      <c r="S96" s="121"/>
    </row>
    <row r="97" spans="1:19" ht="16.5" hidden="1" outlineLevel="1" x14ac:dyDescent="0.25">
      <c r="A97" s="63"/>
      <c r="B97" s="54"/>
      <c r="C97" s="53" t="str">
        <f>IF(B97="","",VLOOKUP(B97,PRODUTOS!$A$4:D$994,2,0))</f>
        <v/>
      </c>
      <c r="D97" s="56"/>
      <c r="E97" s="57"/>
      <c r="F97" s="69"/>
      <c r="G97" s="70" t="s">
        <v>72</v>
      </c>
      <c r="H97" s="71"/>
      <c r="I97" s="55">
        <f t="shared" ref="I97" si="40">IF(E97&lt;&gt;"M²",0,H97*F97*D97)</f>
        <v>0</v>
      </c>
      <c r="J97" s="58">
        <f>IF(B97="",0,(VLOOKUP(B97,PRODUTOS!$A$4:D$994,4,0)))</f>
        <v>0</v>
      </c>
      <c r="K97" s="58"/>
      <c r="L97" s="58"/>
      <c r="M97" s="58">
        <f t="shared" ref="M97" si="41">IF(I97&lt;=0,D97*J97,(J97*I97))</f>
        <v>0</v>
      </c>
      <c r="O97" s="59">
        <f>M97</f>
        <v>0</v>
      </c>
      <c r="P97" s="59"/>
      <c r="Q97" s="61"/>
      <c r="R97" s="60">
        <f t="shared" si="39"/>
        <v>0</v>
      </c>
      <c r="S97" s="121"/>
    </row>
    <row r="98" spans="1:19" hidden="1" outlineLevel="1" x14ac:dyDescent="0.2">
      <c r="Q98"/>
      <c r="S98" s="121"/>
    </row>
    <row r="99" spans="1:19" ht="16.5" collapsed="1" x14ac:dyDescent="0.25">
      <c r="B99" s="83" t="s">
        <v>105</v>
      </c>
      <c r="C99" s="53" t="s">
        <v>107</v>
      </c>
      <c r="D99" s="101">
        <v>1</v>
      </c>
      <c r="E99" s="57" t="s">
        <v>9</v>
      </c>
      <c r="F99" s="102">
        <v>1</v>
      </c>
      <c r="G99" s="103" t="s">
        <v>72</v>
      </c>
      <c r="H99" s="104">
        <v>1</v>
      </c>
      <c r="I99" s="55">
        <f>I95</f>
        <v>1</v>
      </c>
      <c r="J99" s="105">
        <f>J95</f>
        <v>550</v>
      </c>
      <c r="K99" s="105"/>
      <c r="L99" s="105">
        <f>L96</f>
        <v>55</v>
      </c>
      <c r="M99" s="105">
        <f>SUM(M95:M97)*D99</f>
        <v>605</v>
      </c>
      <c r="O99" s="59">
        <f>SUM(O95:O97)</f>
        <v>352</v>
      </c>
      <c r="P99" s="59">
        <f>P95</f>
        <v>297</v>
      </c>
      <c r="Q99" s="61"/>
      <c r="R99" s="60">
        <f>SUM(R95:R97)</f>
        <v>253</v>
      </c>
      <c r="S99" s="124"/>
    </row>
    <row r="100" spans="1:19" ht="5.25" customHeight="1" x14ac:dyDescent="0.2">
      <c r="A100" s="121"/>
      <c r="B100" s="121"/>
      <c r="C100" s="121"/>
      <c r="D100" s="121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1"/>
      <c r="P100" s="121"/>
      <c r="Q100" s="122"/>
      <c r="R100" s="121"/>
      <c r="S100" s="121"/>
    </row>
    <row r="101" spans="1:19" ht="16.5" hidden="1" outlineLevel="1" x14ac:dyDescent="0.25">
      <c r="A101" s="63" t="s">
        <v>73</v>
      </c>
      <c r="B101" s="54" t="s">
        <v>110</v>
      </c>
      <c r="C101" s="53" t="str">
        <f>IF(B101="","",VLOOKUP(B101,PRODUTOS!$A$4:D$994,2,0))</f>
        <v>VIDRO PIVOTANTE INCOLOR G.</v>
      </c>
      <c r="D101" s="56">
        <v>1</v>
      </c>
      <c r="E101" s="67" t="s">
        <v>9</v>
      </c>
      <c r="F101" s="69">
        <f>F105</f>
        <v>1</v>
      </c>
      <c r="G101" s="70" t="s">
        <v>72</v>
      </c>
      <c r="H101" s="71">
        <f>H105</f>
        <v>1</v>
      </c>
      <c r="I101" s="68">
        <f>H101*F101*D101</f>
        <v>1</v>
      </c>
      <c r="J101" s="58">
        <f>IF(B101="",0,(VLOOKUP(B101,PRODUTOS!$A$4:D$994,4,0)))</f>
        <v>500</v>
      </c>
      <c r="K101" s="58"/>
      <c r="L101" s="58"/>
      <c r="M101" s="58">
        <f>IF(I101&lt;=0,D101*J101,(J101*I101))</f>
        <v>500</v>
      </c>
      <c r="O101" s="59">
        <f>M101-R101</f>
        <v>225</v>
      </c>
      <c r="P101" s="59">
        <f>O101</f>
        <v>225</v>
      </c>
      <c r="Q101" s="61">
        <v>0.55000000000000004</v>
      </c>
      <c r="R101" s="60">
        <f>Q101*M101</f>
        <v>275</v>
      </c>
      <c r="S101" s="121"/>
    </row>
    <row r="102" spans="1:19" ht="16.5" hidden="1" outlineLevel="1" x14ac:dyDescent="0.25">
      <c r="A102" s="63" t="s">
        <v>83</v>
      </c>
      <c r="B102" s="54" t="s">
        <v>22</v>
      </c>
      <c r="C102" s="53" t="str">
        <f>IF(B102="","",VLOOKUP(B102,PRODUTOS!$A$4:D$994,2,0))</f>
        <v>KIT PIVOTANTE</v>
      </c>
      <c r="D102" s="56">
        <v>1</v>
      </c>
      <c r="E102" s="57" t="s">
        <v>5</v>
      </c>
      <c r="F102" s="69"/>
      <c r="G102" s="70" t="s">
        <v>72</v>
      </c>
      <c r="H102" s="71"/>
      <c r="I102" s="55">
        <f>IF(E102&lt;&gt;"M²",0,H102*F102*D102)</f>
        <v>0</v>
      </c>
      <c r="K102" s="58"/>
      <c r="L102" s="58">
        <f>IF(B102="",0,(VLOOKUP(B102,PRODUTOS!$A$4:D$994,4,0)))</f>
        <v>55</v>
      </c>
      <c r="M102" s="58">
        <f>L102*D102</f>
        <v>55</v>
      </c>
      <c r="O102" s="59">
        <f>M102</f>
        <v>55</v>
      </c>
      <c r="P102" s="59"/>
      <c r="Q102" s="61"/>
      <c r="R102" s="60">
        <f t="shared" ref="R102:R103" si="42">Q102*M102</f>
        <v>0</v>
      </c>
      <c r="S102" s="121"/>
    </row>
    <row r="103" spans="1:19" ht="16.5" hidden="1" outlineLevel="1" x14ac:dyDescent="0.25">
      <c r="A103" s="63"/>
      <c r="B103" s="54"/>
      <c r="C103" s="53" t="str">
        <f>IF(B103="","",VLOOKUP(B103,PRODUTOS!$A$4:D$994,2,0))</f>
        <v/>
      </c>
      <c r="D103" s="56"/>
      <c r="E103" s="57"/>
      <c r="F103" s="69"/>
      <c r="G103" s="70" t="s">
        <v>72</v>
      </c>
      <c r="H103" s="71"/>
      <c r="I103" s="55">
        <f t="shared" ref="I103" si="43">IF(E103&lt;&gt;"M²",0,H103*F103*D103)</f>
        <v>0</v>
      </c>
      <c r="J103" s="58">
        <f>IF(B103="",0,(VLOOKUP(B103,PRODUTOS!$A$4:D$994,4,0)))</f>
        <v>0</v>
      </c>
      <c r="K103" s="58"/>
      <c r="L103" s="58"/>
      <c r="M103" s="58">
        <f t="shared" ref="M103" si="44">IF(I103&lt;=0,D103*J103,(J103*I103))</f>
        <v>0</v>
      </c>
      <c r="O103" s="59">
        <f>M103</f>
        <v>0</v>
      </c>
      <c r="P103" s="59"/>
      <c r="Q103" s="61"/>
      <c r="R103" s="60">
        <f t="shared" si="42"/>
        <v>0</v>
      </c>
      <c r="S103" s="121"/>
    </row>
    <row r="104" spans="1:19" hidden="1" outlineLevel="1" x14ac:dyDescent="0.2">
      <c r="Q104"/>
      <c r="S104" s="121"/>
    </row>
    <row r="105" spans="1:19" ht="16.5" collapsed="1" x14ac:dyDescent="0.25">
      <c r="B105" s="83" t="s">
        <v>104</v>
      </c>
      <c r="C105" s="53" t="s">
        <v>106</v>
      </c>
      <c r="D105" s="101">
        <v>1</v>
      </c>
      <c r="E105" s="57" t="s">
        <v>9</v>
      </c>
      <c r="F105" s="102">
        <v>1</v>
      </c>
      <c r="G105" s="103" t="s">
        <v>72</v>
      </c>
      <c r="H105" s="104">
        <v>1</v>
      </c>
      <c r="I105" s="55">
        <f>I101</f>
        <v>1</v>
      </c>
      <c r="J105" s="105">
        <f>J101</f>
        <v>500</v>
      </c>
      <c r="K105" s="105"/>
      <c r="L105" s="105">
        <f>L102</f>
        <v>55</v>
      </c>
      <c r="M105" s="105">
        <f>SUM(M101:M103)*D105</f>
        <v>555</v>
      </c>
      <c r="O105" s="59">
        <f>SUM(O101:O103)</f>
        <v>280</v>
      </c>
      <c r="P105" s="59">
        <f>P101</f>
        <v>225</v>
      </c>
      <c r="Q105" s="61"/>
      <c r="R105" s="60">
        <f>SUM(R101:R103)</f>
        <v>275</v>
      </c>
      <c r="S105" s="124"/>
    </row>
    <row r="106" spans="1:19" ht="5.25" customHeight="1" x14ac:dyDescent="0.2">
      <c r="A106" s="121"/>
      <c r="B106" s="121"/>
      <c r="C106" s="121"/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</row>
    <row r="107" spans="1:19" ht="16.5" x14ac:dyDescent="0.25">
      <c r="B107" s="76" t="s">
        <v>91</v>
      </c>
      <c r="C107" s="53" t="s">
        <v>88</v>
      </c>
      <c r="D107" s="78">
        <v>1</v>
      </c>
      <c r="E107" s="57" t="s">
        <v>9</v>
      </c>
      <c r="F107" s="79">
        <v>1</v>
      </c>
      <c r="G107" s="80" t="s">
        <v>72</v>
      </c>
      <c r="H107" s="81">
        <v>1</v>
      </c>
      <c r="I107" s="55">
        <f>I97</f>
        <v>0</v>
      </c>
      <c r="J107" s="82">
        <f>PRODUTOS!D19</f>
        <v>85</v>
      </c>
      <c r="K107" s="82"/>
      <c r="L107" s="82">
        <f>L98</f>
        <v>0</v>
      </c>
      <c r="M107" s="82">
        <f>J107</f>
        <v>85</v>
      </c>
      <c r="O107" s="59">
        <f t="shared" ref="O107" si="45">M107-R107</f>
        <v>60.010000000000005</v>
      </c>
      <c r="P107" s="59">
        <f>O107</f>
        <v>60.010000000000005</v>
      </c>
      <c r="Q107" s="61">
        <v>0.29399999999999998</v>
      </c>
      <c r="R107" s="60">
        <f>Q107*M107</f>
        <v>24.99</v>
      </c>
      <c r="S107" s="121"/>
    </row>
    <row r="108" spans="1:19" ht="5.25" customHeight="1" x14ac:dyDescent="0.2">
      <c r="A108" s="121"/>
      <c r="B108" s="121"/>
      <c r="C108" s="121"/>
      <c r="D108" s="121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1"/>
      <c r="P108" s="121"/>
      <c r="Q108" s="122"/>
      <c r="R108" s="121"/>
      <c r="S108" s="121"/>
    </row>
    <row r="109" spans="1:19" ht="16.5" x14ac:dyDescent="0.25">
      <c r="B109" s="76" t="s">
        <v>101</v>
      </c>
      <c r="C109" s="53" t="s">
        <v>100</v>
      </c>
      <c r="D109" s="78">
        <v>1</v>
      </c>
      <c r="E109" s="57" t="s">
        <v>9</v>
      </c>
      <c r="F109" s="79">
        <v>1</v>
      </c>
      <c r="G109" s="80" t="s">
        <v>72</v>
      </c>
      <c r="H109" s="81">
        <v>1</v>
      </c>
      <c r="I109" s="55">
        <v>0</v>
      </c>
      <c r="J109" s="82">
        <v>760</v>
      </c>
      <c r="K109" s="82"/>
      <c r="L109" s="82"/>
      <c r="M109" s="82">
        <v>780</v>
      </c>
      <c r="O109" s="59">
        <f>M109-R109</f>
        <v>390</v>
      </c>
      <c r="P109" s="59">
        <f>O109</f>
        <v>390</v>
      </c>
      <c r="Q109" s="61">
        <v>0.5</v>
      </c>
      <c r="R109" s="60">
        <f>Q109*M109</f>
        <v>390</v>
      </c>
      <c r="S109" s="121"/>
    </row>
    <row r="110" spans="1:19" ht="5.25" customHeight="1" x14ac:dyDescent="0.2">
      <c r="A110" s="121"/>
      <c r="B110" s="121"/>
      <c r="C110" s="121"/>
      <c r="D110" s="121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1"/>
      <c r="P110" s="121"/>
      <c r="Q110" s="122"/>
      <c r="R110" s="121"/>
      <c r="S110" s="121"/>
    </row>
    <row r="111" spans="1:19" ht="16.5" x14ac:dyDescent="0.25">
      <c r="B111" s="76" t="s">
        <v>102</v>
      </c>
      <c r="C111" s="53" t="s">
        <v>103</v>
      </c>
      <c r="D111" s="78">
        <v>1</v>
      </c>
      <c r="E111" s="57" t="s">
        <v>9</v>
      </c>
      <c r="F111" s="79">
        <v>1</v>
      </c>
      <c r="G111" s="80" t="s">
        <v>72</v>
      </c>
      <c r="H111" s="81">
        <v>1</v>
      </c>
      <c r="I111" s="55">
        <v>0</v>
      </c>
      <c r="J111" s="82">
        <v>740</v>
      </c>
      <c r="K111" s="82"/>
      <c r="L111" s="82"/>
      <c r="M111" s="82">
        <v>760</v>
      </c>
      <c r="O111" s="59">
        <f t="shared" ref="O111" si="46">M111-R111</f>
        <v>380</v>
      </c>
      <c r="P111" s="59">
        <f t="shared" ref="P111" si="47">O111</f>
        <v>380</v>
      </c>
      <c r="Q111" s="61">
        <v>0.5</v>
      </c>
      <c r="R111" s="60">
        <f t="shared" ref="R111" si="48">Q111*M111</f>
        <v>380</v>
      </c>
      <c r="S111" s="121"/>
    </row>
    <row r="112" spans="1:19" ht="5.25" customHeight="1" x14ac:dyDescent="0.2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2"/>
      <c r="R112" s="121"/>
      <c r="S112" s="121"/>
    </row>
    <row r="113" spans="1:19" ht="16.5" x14ac:dyDescent="0.25">
      <c r="B113" s="76" t="s">
        <v>30</v>
      </c>
      <c r="C113" s="53" t="s">
        <v>145</v>
      </c>
      <c r="D113" s="78">
        <v>1</v>
      </c>
      <c r="E113" s="57" t="s">
        <v>9</v>
      </c>
      <c r="F113" s="79">
        <v>1</v>
      </c>
      <c r="G113" s="80" t="s">
        <v>72</v>
      </c>
      <c r="H113" s="81">
        <v>1</v>
      </c>
      <c r="I113" s="55">
        <v>0</v>
      </c>
      <c r="J113" s="82">
        <v>700</v>
      </c>
      <c r="K113" s="82"/>
      <c r="L113" s="82"/>
      <c r="M113" s="82">
        <v>700</v>
      </c>
      <c r="O113" s="59">
        <f t="shared" ref="O113" si="49">M113-R113</f>
        <v>350</v>
      </c>
      <c r="P113" s="59">
        <f t="shared" ref="P113" si="50">O113</f>
        <v>350</v>
      </c>
      <c r="Q113" s="61">
        <v>0.5</v>
      </c>
      <c r="R113" s="60">
        <f t="shared" ref="R113" si="51">Q113*M113</f>
        <v>350</v>
      </c>
      <c r="S113" s="121"/>
    </row>
    <row r="114" spans="1:19" ht="5.25" customHeight="1" x14ac:dyDescent="0.2">
      <c r="A114" s="121"/>
      <c r="B114" s="121"/>
      <c r="C114" s="121"/>
      <c r="D114" s="121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1"/>
      <c r="P114" s="121"/>
      <c r="Q114" s="122"/>
      <c r="R114" s="121"/>
      <c r="S114" s="121"/>
    </row>
    <row r="115" spans="1:19" ht="16.5" x14ac:dyDescent="0.25">
      <c r="B115" s="76" t="s">
        <v>31</v>
      </c>
      <c r="C115" s="53" t="s">
        <v>146</v>
      </c>
      <c r="D115" s="78">
        <v>1</v>
      </c>
      <c r="E115" s="57" t="s">
        <v>9</v>
      </c>
      <c r="F115" s="79">
        <v>1</v>
      </c>
      <c r="G115" s="80" t="s">
        <v>72</v>
      </c>
      <c r="H115" s="81">
        <v>1</v>
      </c>
      <c r="I115" s="55">
        <v>0</v>
      </c>
      <c r="J115" s="82">
        <v>410</v>
      </c>
      <c r="K115" s="82"/>
      <c r="L115" s="82"/>
      <c r="M115" s="82">
        <v>410</v>
      </c>
      <c r="O115" s="59">
        <f t="shared" ref="O115" si="52">M115-R115</f>
        <v>184.49999999999997</v>
      </c>
      <c r="P115" s="59">
        <f t="shared" ref="P115" si="53">O115</f>
        <v>184.49999999999997</v>
      </c>
      <c r="Q115" s="61">
        <v>0.55000000000000004</v>
      </c>
      <c r="R115" s="60">
        <f t="shared" ref="R115" si="54">Q115*M115</f>
        <v>225.50000000000003</v>
      </c>
      <c r="S115" s="121"/>
    </row>
    <row r="116" spans="1:19" ht="5.25" customHeight="1" x14ac:dyDescent="0.2">
      <c r="A116" s="121"/>
      <c r="B116" s="121"/>
      <c r="C116" s="121"/>
      <c r="D116" s="121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1"/>
      <c r="P116" s="121"/>
      <c r="Q116" s="122"/>
      <c r="R116" s="121"/>
      <c r="S116" s="121"/>
    </row>
    <row r="117" spans="1:19" ht="16.5" x14ac:dyDescent="0.25">
      <c r="B117" s="76" t="s">
        <v>149</v>
      </c>
      <c r="C117" s="53" t="s">
        <v>147</v>
      </c>
      <c r="D117" s="78">
        <v>1</v>
      </c>
      <c r="E117" s="57" t="s">
        <v>9</v>
      </c>
      <c r="F117" s="79">
        <v>1</v>
      </c>
      <c r="G117" s="80" t="s">
        <v>72</v>
      </c>
      <c r="H117" s="81">
        <v>1</v>
      </c>
      <c r="I117" s="55">
        <v>0</v>
      </c>
      <c r="J117" s="82">
        <v>410</v>
      </c>
      <c r="K117" s="82"/>
      <c r="L117" s="82"/>
      <c r="M117" s="82">
        <f>J117</f>
        <v>410</v>
      </c>
      <c r="O117" s="59">
        <f t="shared" ref="O117" si="55">M117-R117</f>
        <v>205</v>
      </c>
      <c r="P117" s="59">
        <f t="shared" ref="P117" si="56">O117</f>
        <v>205</v>
      </c>
      <c r="Q117" s="61">
        <v>0.5</v>
      </c>
      <c r="R117" s="60">
        <f t="shared" ref="R117" si="57">Q117*M117</f>
        <v>205</v>
      </c>
      <c r="S117" s="121"/>
    </row>
    <row r="118" spans="1:19" ht="5.25" customHeight="1" x14ac:dyDescent="0.2">
      <c r="A118" s="121"/>
      <c r="B118" s="121"/>
      <c r="C118" s="121"/>
      <c r="D118" s="121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1"/>
      <c r="P118" s="121"/>
      <c r="Q118" s="122"/>
      <c r="R118" s="121"/>
      <c r="S118" s="121"/>
    </row>
    <row r="119" spans="1:19" ht="16.5" x14ac:dyDescent="0.25">
      <c r="B119" s="76" t="s">
        <v>150</v>
      </c>
      <c r="C119" s="53" t="s">
        <v>148</v>
      </c>
      <c r="D119" s="78">
        <v>1</v>
      </c>
      <c r="E119" s="57" t="s">
        <v>9</v>
      </c>
      <c r="F119" s="79">
        <v>1</v>
      </c>
      <c r="G119" s="80" t="s">
        <v>72</v>
      </c>
      <c r="H119" s="81">
        <v>1</v>
      </c>
      <c r="I119" s="55">
        <v>0</v>
      </c>
      <c r="J119" s="82">
        <v>530</v>
      </c>
      <c r="K119" s="82"/>
      <c r="L119" s="82"/>
      <c r="M119" s="82">
        <f>J119</f>
        <v>530</v>
      </c>
      <c r="O119" s="59">
        <f t="shared" ref="O119" si="58">M119-R119</f>
        <v>265</v>
      </c>
      <c r="P119" s="59">
        <f t="shared" ref="P119" si="59">O119</f>
        <v>265</v>
      </c>
      <c r="Q119" s="61">
        <v>0.5</v>
      </c>
      <c r="R119" s="60">
        <f t="shared" ref="R119" si="60">Q119*M119</f>
        <v>265</v>
      </c>
      <c r="S119" s="121"/>
    </row>
    <row r="120" spans="1:19" ht="5.25" customHeight="1" x14ac:dyDescent="0.2">
      <c r="A120" s="121"/>
      <c r="B120" s="121"/>
      <c r="C120" s="121"/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1"/>
      <c r="P120" s="121"/>
      <c r="Q120" s="122"/>
      <c r="R120" s="121"/>
      <c r="S120" s="121"/>
    </row>
    <row r="121" spans="1:19" ht="16.5" x14ac:dyDescent="0.25">
      <c r="B121" s="76" t="s">
        <v>151</v>
      </c>
      <c r="C121" s="53" t="s">
        <v>152</v>
      </c>
      <c r="D121" s="78">
        <v>1</v>
      </c>
      <c r="E121" s="57" t="s">
        <v>9</v>
      </c>
      <c r="F121" s="79">
        <v>1</v>
      </c>
      <c r="G121" s="80" t="s">
        <v>72</v>
      </c>
      <c r="H121" s="81">
        <v>1</v>
      </c>
      <c r="I121" s="55">
        <v>0</v>
      </c>
      <c r="J121" s="82">
        <f>PRODUTOS!D49</f>
        <v>520</v>
      </c>
      <c r="K121" s="82"/>
      <c r="L121" s="82"/>
      <c r="M121" s="82">
        <f>J121</f>
        <v>520</v>
      </c>
      <c r="O121" s="59">
        <f t="shared" ref="O121" si="61">M121-R121</f>
        <v>260</v>
      </c>
      <c r="P121" s="59">
        <f t="shared" ref="P121" si="62">O121</f>
        <v>260</v>
      </c>
      <c r="Q121" s="61">
        <v>0.5</v>
      </c>
      <c r="R121" s="60">
        <f t="shared" ref="R121" si="63">Q121*M121</f>
        <v>260</v>
      </c>
      <c r="S121" s="121"/>
    </row>
    <row r="122" spans="1:19" ht="5.25" customHeight="1" x14ac:dyDescent="0.2">
      <c r="A122" s="121"/>
      <c r="B122" s="121"/>
      <c r="C122" s="121"/>
      <c r="D122" s="121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1"/>
      <c r="P122" s="121"/>
      <c r="Q122" s="122"/>
      <c r="R122" s="121"/>
      <c r="S122" s="121"/>
    </row>
    <row r="123" spans="1:19" ht="16.5" x14ac:dyDescent="0.25">
      <c r="B123" s="76" t="s">
        <v>154</v>
      </c>
      <c r="C123" s="53" t="s">
        <v>153</v>
      </c>
      <c r="D123" s="78">
        <v>1</v>
      </c>
      <c r="E123" s="57" t="s">
        <v>9</v>
      </c>
      <c r="F123" s="79">
        <v>1</v>
      </c>
      <c r="G123" s="80" t="s">
        <v>72</v>
      </c>
      <c r="H123" s="81">
        <v>1</v>
      </c>
      <c r="I123" s="55">
        <v>0</v>
      </c>
      <c r="J123" s="82">
        <f>PRODUTOS!D50</f>
        <v>385</v>
      </c>
      <c r="K123" s="82"/>
      <c r="L123" s="82"/>
      <c r="M123" s="82">
        <f>J123</f>
        <v>385</v>
      </c>
      <c r="O123" s="59">
        <f t="shared" ref="O123" si="64">M123-R123</f>
        <v>192.5</v>
      </c>
      <c r="P123" s="59">
        <f t="shared" ref="P123" si="65">O123</f>
        <v>192.5</v>
      </c>
      <c r="Q123" s="61">
        <v>0.5</v>
      </c>
      <c r="R123" s="60">
        <f t="shared" ref="R123" si="66">Q123*M123</f>
        <v>192.5</v>
      </c>
      <c r="S123" s="121"/>
    </row>
    <row r="124" spans="1:19" ht="5.25" customHeight="1" x14ac:dyDescent="0.2">
      <c r="A124" s="121"/>
      <c r="B124" s="121"/>
      <c r="C124" s="121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1"/>
      <c r="P124" s="121"/>
      <c r="Q124" s="122"/>
      <c r="R124" s="121"/>
      <c r="S124" s="121"/>
    </row>
    <row r="125" spans="1:19" ht="16.5" x14ac:dyDescent="0.25">
      <c r="B125" s="76" t="s">
        <v>155</v>
      </c>
      <c r="C125" s="53" t="s">
        <v>156</v>
      </c>
      <c r="D125" s="78">
        <v>1</v>
      </c>
      <c r="E125" s="57" t="s">
        <v>9</v>
      </c>
      <c r="F125" s="79">
        <v>1</v>
      </c>
      <c r="G125" s="80" t="s">
        <v>72</v>
      </c>
      <c r="H125" s="81">
        <v>1</v>
      </c>
      <c r="I125" s="55">
        <v>0</v>
      </c>
      <c r="J125" s="82">
        <f>PRODUTOS!D51</f>
        <v>450</v>
      </c>
      <c r="K125" s="82"/>
      <c r="L125" s="82"/>
      <c r="M125" s="82">
        <v>380</v>
      </c>
      <c r="O125" s="59">
        <f t="shared" ref="O125" si="67">M125-R125</f>
        <v>190</v>
      </c>
      <c r="P125" s="59">
        <f t="shared" ref="P125" si="68">O125</f>
        <v>190</v>
      </c>
      <c r="Q125" s="61">
        <v>0.5</v>
      </c>
      <c r="R125" s="60">
        <f t="shared" ref="R125" si="69">Q125*M125</f>
        <v>190</v>
      </c>
      <c r="S125" s="121"/>
    </row>
    <row r="126" spans="1:19" ht="5.25" customHeight="1" x14ac:dyDescent="0.2">
      <c r="A126" s="121"/>
      <c r="B126" s="121"/>
      <c r="C126" s="121"/>
      <c r="D126" s="121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1"/>
      <c r="P126" s="121"/>
      <c r="Q126" s="122"/>
      <c r="R126" s="121"/>
      <c r="S126" s="121"/>
    </row>
    <row r="127" spans="1:19" ht="16.5" x14ac:dyDescent="0.25">
      <c r="B127" s="75" t="s">
        <v>45</v>
      </c>
      <c r="C127" s="53" t="s">
        <v>158</v>
      </c>
      <c r="D127" s="110">
        <v>1</v>
      </c>
      <c r="E127" s="57" t="s">
        <v>9</v>
      </c>
      <c r="F127" s="107">
        <v>1</v>
      </c>
      <c r="G127" s="108" t="s">
        <v>72</v>
      </c>
      <c r="H127" s="109">
        <v>1</v>
      </c>
      <c r="I127" s="55">
        <v>0</v>
      </c>
      <c r="J127" s="106">
        <v>265</v>
      </c>
      <c r="K127" s="106"/>
      <c r="L127" s="106"/>
      <c r="M127" s="106">
        <v>265</v>
      </c>
      <c r="O127" s="59">
        <f t="shared" ref="O127" si="70">M127-R127</f>
        <v>132.5</v>
      </c>
      <c r="P127" s="59">
        <f t="shared" ref="P127" si="71">O127</f>
        <v>132.5</v>
      </c>
      <c r="Q127" s="61">
        <v>0.5</v>
      </c>
      <c r="R127" s="60">
        <f t="shared" ref="R127" si="72">Q127*M127</f>
        <v>132.5</v>
      </c>
      <c r="S127" s="121"/>
    </row>
    <row r="128" spans="1:19" ht="5.25" customHeight="1" x14ac:dyDescent="0.2">
      <c r="A128" s="121"/>
      <c r="B128" s="121"/>
      <c r="C128" s="121"/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1"/>
      <c r="P128" s="121"/>
      <c r="Q128" s="122"/>
      <c r="R128" s="121"/>
      <c r="S128" s="121"/>
    </row>
    <row r="129" spans="1:19" ht="16.5" x14ac:dyDescent="0.25">
      <c r="B129" s="75" t="s">
        <v>42</v>
      </c>
      <c r="C129" s="53" t="s">
        <v>157</v>
      </c>
      <c r="D129" s="110">
        <v>1</v>
      </c>
      <c r="E129" s="57" t="s">
        <v>9</v>
      </c>
      <c r="F129" s="107">
        <v>1</v>
      </c>
      <c r="G129" s="108" t="s">
        <v>72</v>
      </c>
      <c r="H129" s="109">
        <v>1</v>
      </c>
      <c r="I129" s="55">
        <v>0</v>
      </c>
      <c r="J129" s="106">
        <v>290</v>
      </c>
      <c r="K129" s="106"/>
      <c r="L129" s="106"/>
      <c r="M129" s="106">
        <v>290</v>
      </c>
      <c r="O129" s="59">
        <f t="shared" ref="O129" si="73">M129-R129</f>
        <v>145</v>
      </c>
      <c r="P129" s="59">
        <f t="shared" ref="P129" si="74">O129</f>
        <v>145</v>
      </c>
      <c r="Q129" s="61">
        <v>0.5</v>
      </c>
      <c r="R129" s="60">
        <f t="shared" ref="R129" si="75">Q129*M129</f>
        <v>145</v>
      </c>
      <c r="S129" s="121"/>
    </row>
    <row r="130" spans="1:19" ht="5.25" customHeight="1" x14ac:dyDescent="0.2">
      <c r="A130" s="121"/>
      <c r="B130" s="121"/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2"/>
      <c r="R130" s="121"/>
      <c r="S130" s="121"/>
    </row>
    <row r="131" spans="1:19" ht="16.5" hidden="1" outlineLevel="1" x14ac:dyDescent="0.25">
      <c r="A131" s="63" t="s">
        <v>73</v>
      </c>
      <c r="B131" s="54" t="s">
        <v>48</v>
      </c>
      <c r="C131" s="53" t="str">
        <f>IF(B131="","",VLOOKUP(B131,PRODUTOS!$A$4:D$994,2,0))</f>
        <v>BOX INCOLOR</v>
      </c>
      <c r="D131" s="56">
        <v>1</v>
      </c>
      <c r="E131" s="57" t="s">
        <v>9</v>
      </c>
      <c r="F131" s="54">
        <f>F135</f>
        <v>1</v>
      </c>
      <c r="G131" s="54" t="s">
        <v>72</v>
      </c>
      <c r="H131" s="54">
        <f>H135</f>
        <v>1</v>
      </c>
      <c r="I131" s="55">
        <f>H131*F131*D131</f>
        <v>1</v>
      </c>
      <c r="J131" s="58">
        <f>IF(B131="",0,(VLOOKUP(B131,PRODUTOS!$A$4:D$994,4,0)))</f>
        <v>350</v>
      </c>
      <c r="K131" s="58"/>
      <c r="L131" s="58"/>
      <c r="M131" s="58">
        <f>IF(I131&lt;=0,D131*J131,(J131*I131))</f>
        <v>350</v>
      </c>
      <c r="O131" s="59">
        <f>M131-R131</f>
        <v>192.5</v>
      </c>
      <c r="P131" s="59">
        <f>O131</f>
        <v>192.5</v>
      </c>
      <c r="Q131" s="61">
        <v>0.45</v>
      </c>
      <c r="R131" s="60">
        <f>Q131*M131</f>
        <v>157.5</v>
      </c>
      <c r="S131" s="121"/>
    </row>
    <row r="132" spans="1:19" ht="16.5" hidden="1" outlineLevel="1" x14ac:dyDescent="0.25">
      <c r="A132" s="63" t="s">
        <v>80</v>
      </c>
      <c r="B132" s="54" t="s">
        <v>76</v>
      </c>
      <c r="C132" s="53" t="str">
        <f>IF(B132="","",VLOOKUP(B132,PRODUTOS!$A$4:D$994,2,0))</f>
        <v>KIT ALUMÍNIO</v>
      </c>
      <c r="D132" s="56">
        <v>1</v>
      </c>
      <c r="E132" s="57" t="s">
        <v>63</v>
      </c>
      <c r="F132" s="69">
        <f>F135</f>
        <v>1</v>
      </c>
      <c r="G132" s="70" t="s">
        <v>72</v>
      </c>
      <c r="H132" s="71">
        <f>H135</f>
        <v>1</v>
      </c>
      <c r="I132" s="55">
        <f>IF(E132&lt;&gt;"M²",0,H132*F132*D132)</f>
        <v>0</v>
      </c>
      <c r="J132" s="58"/>
      <c r="K132" s="58">
        <f>PRODUTOS!D22</f>
        <v>85</v>
      </c>
      <c r="L132" s="58"/>
      <c r="M132" s="58">
        <f>K132*H132</f>
        <v>85</v>
      </c>
      <c r="O132" s="59">
        <f>M132</f>
        <v>85</v>
      </c>
      <c r="P132" s="59"/>
      <c r="Q132" s="61"/>
      <c r="R132" s="60">
        <f t="shared" ref="R132:R133" si="76">Q132*M132</f>
        <v>0</v>
      </c>
      <c r="S132" s="121"/>
    </row>
    <row r="133" spans="1:19" ht="16.5" hidden="1" outlineLevel="1" x14ac:dyDescent="0.25">
      <c r="A133" s="63" t="s">
        <v>141</v>
      </c>
      <c r="B133" s="54" t="s">
        <v>139</v>
      </c>
      <c r="C133" s="53" t="str">
        <f>IF(B133="","",VLOOKUP(B133,PRODUTOS!$A$4:D$994,2,0))</f>
        <v>KIT ACESSORIO BOX</v>
      </c>
      <c r="D133" s="56">
        <v>1</v>
      </c>
      <c r="E133" s="57"/>
      <c r="F133" s="69"/>
      <c r="G133" s="70" t="s">
        <v>72</v>
      </c>
      <c r="H133" s="71">
        <v>1</v>
      </c>
      <c r="I133" s="55">
        <f t="shared" ref="I133" si="77">IF(E133&lt;&gt;"M²",0,H133*F133*D133)</f>
        <v>0</v>
      </c>
      <c r="J133" s="58"/>
      <c r="K133" s="58"/>
      <c r="L133" s="58">
        <f>IF(B133="",0,(VLOOKUP(B133,PRODUTOS!$A$4:D$994,4,0)))</f>
        <v>30</v>
      </c>
      <c r="M133" s="58">
        <f>L133*H133</f>
        <v>30</v>
      </c>
      <c r="O133" s="59">
        <f>M133</f>
        <v>30</v>
      </c>
      <c r="P133" s="59"/>
      <c r="Q133" s="61"/>
      <c r="R133" s="60">
        <f t="shared" si="76"/>
        <v>0</v>
      </c>
      <c r="S133" s="121"/>
    </row>
    <row r="134" spans="1:19" hidden="1" outlineLevel="1" x14ac:dyDescent="0.2">
      <c r="Q134"/>
      <c r="S134" s="121"/>
    </row>
    <row r="135" spans="1:19" ht="16.5" collapsed="1" x14ac:dyDescent="0.25">
      <c r="B135" s="84" t="s">
        <v>48</v>
      </c>
      <c r="C135" s="53" t="s">
        <v>168</v>
      </c>
      <c r="D135" s="96">
        <v>1</v>
      </c>
      <c r="E135" s="57" t="s">
        <v>9</v>
      </c>
      <c r="F135" s="97">
        <v>1</v>
      </c>
      <c r="G135" s="98" t="s">
        <v>72</v>
      </c>
      <c r="H135" s="99">
        <v>1</v>
      </c>
      <c r="I135" s="55">
        <f>I131</f>
        <v>1</v>
      </c>
      <c r="J135" s="100">
        <f>PRODUTOS!D8</f>
        <v>350</v>
      </c>
      <c r="K135" s="100">
        <f>K132</f>
        <v>85</v>
      </c>
      <c r="L135" s="100">
        <f>L133</f>
        <v>30</v>
      </c>
      <c r="M135" s="100">
        <f>SUM(M131:M133)*D135</f>
        <v>465</v>
      </c>
      <c r="O135" s="59">
        <f>SUM(O131:O133)</f>
        <v>307.5</v>
      </c>
      <c r="P135" s="59">
        <f>P131</f>
        <v>192.5</v>
      </c>
      <c r="Q135" s="61"/>
      <c r="R135" s="60">
        <f>SUM(R131:R133)</f>
        <v>157.5</v>
      </c>
      <c r="S135" s="124"/>
    </row>
    <row r="136" spans="1:19" ht="5.25" customHeight="1" x14ac:dyDescent="0.2">
      <c r="A136" s="121"/>
      <c r="B136" s="121"/>
      <c r="C136" s="121"/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1"/>
      <c r="P136" s="121"/>
      <c r="Q136" s="122"/>
      <c r="R136" s="121"/>
      <c r="S136" s="121"/>
    </row>
    <row r="137" spans="1:19" ht="16.5" hidden="1" outlineLevel="1" x14ac:dyDescent="0.25">
      <c r="A137" s="63" t="s">
        <v>73</v>
      </c>
      <c r="B137" s="54" t="s">
        <v>143</v>
      </c>
      <c r="C137" s="53" t="str">
        <f>IF(B137="","",VLOOKUP(B137,PRODUTOS!$A$4:D$994,2,0))</f>
        <v>VIDRO BOX VERDE / FUMÊ</v>
      </c>
      <c r="D137" s="56">
        <v>1</v>
      </c>
      <c r="E137" s="57" t="s">
        <v>9</v>
      </c>
      <c r="F137" s="54">
        <f>F141</f>
        <v>1</v>
      </c>
      <c r="G137" s="54" t="s">
        <v>72</v>
      </c>
      <c r="H137" s="54">
        <f>H141</f>
        <v>1</v>
      </c>
      <c r="I137" s="55">
        <f>H137*F137*D137</f>
        <v>1</v>
      </c>
      <c r="J137" s="58">
        <f>IF(B137="",0,(VLOOKUP(B137,PRODUTOS!$A$4:D$994,4,0)))</f>
        <v>410</v>
      </c>
      <c r="K137" s="58"/>
      <c r="L137" s="58"/>
      <c r="M137" s="58">
        <f>IF(I137&lt;=0,D137*J137,(J137*I137))</f>
        <v>410</v>
      </c>
      <c r="O137" s="59">
        <f>M137-R137</f>
        <v>229.6</v>
      </c>
      <c r="P137" s="59">
        <f>O137</f>
        <v>229.6</v>
      </c>
      <c r="Q137" s="61">
        <v>0.44</v>
      </c>
      <c r="R137" s="60">
        <f>Q137*M137</f>
        <v>180.4</v>
      </c>
      <c r="S137" s="121"/>
    </row>
    <row r="138" spans="1:19" ht="16.5" hidden="1" outlineLevel="1" x14ac:dyDescent="0.25">
      <c r="A138" s="63" t="s">
        <v>80</v>
      </c>
      <c r="B138" s="54" t="s">
        <v>76</v>
      </c>
      <c r="C138" s="53" t="str">
        <f>IF(B138="","",VLOOKUP(B138,PRODUTOS!$A$4:D$994,2,0))</f>
        <v>KIT ALUMÍNIO</v>
      </c>
      <c r="D138" s="56">
        <v>1</v>
      </c>
      <c r="E138" s="57" t="s">
        <v>63</v>
      </c>
      <c r="F138" s="69">
        <f>F141</f>
        <v>1</v>
      </c>
      <c r="G138" s="70" t="s">
        <v>72</v>
      </c>
      <c r="H138" s="71">
        <f>H141</f>
        <v>1</v>
      </c>
      <c r="I138" s="55">
        <f>IF(E138&lt;&gt;"M²",0,H138*F138*D138)</f>
        <v>0</v>
      </c>
      <c r="J138" s="58"/>
      <c r="K138" s="58">
        <f>IF(B138="",0,(VLOOKUP(B138,PRODUTOS!$A$4:D$994,4,0)))</f>
        <v>85</v>
      </c>
      <c r="L138" s="58"/>
      <c r="M138" s="58">
        <f>K138*H138</f>
        <v>85</v>
      </c>
      <c r="O138" s="59">
        <f>M138</f>
        <v>85</v>
      </c>
      <c r="P138" s="59"/>
      <c r="Q138" s="61"/>
      <c r="R138" s="60">
        <f t="shared" ref="R138:R139" si="78">Q138*M138</f>
        <v>0</v>
      </c>
      <c r="S138" s="121"/>
    </row>
    <row r="139" spans="1:19" ht="16.5" hidden="1" outlineLevel="1" x14ac:dyDescent="0.25">
      <c r="A139" s="63" t="s">
        <v>141</v>
      </c>
      <c r="B139" s="54" t="s">
        <v>139</v>
      </c>
      <c r="C139" s="53" t="str">
        <f>IF(B139="","",VLOOKUP(B139,PRODUTOS!$A$4:D$994,2,0))</f>
        <v>KIT ACESSORIO BOX</v>
      </c>
      <c r="D139" s="56">
        <v>1</v>
      </c>
      <c r="E139" s="57"/>
      <c r="F139" s="69"/>
      <c r="G139" s="70" t="s">
        <v>72</v>
      </c>
      <c r="H139" s="71">
        <v>1</v>
      </c>
      <c r="I139" s="55">
        <f t="shared" ref="I139" si="79">IF(E139&lt;&gt;"M²",0,H139*F139*D139)</f>
        <v>0</v>
      </c>
      <c r="J139" s="58"/>
      <c r="K139" s="58"/>
      <c r="L139" s="58">
        <f>IF(B139="",0,(VLOOKUP(B139,PRODUTOS!$A$4:D$994,4,0)))</f>
        <v>30</v>
      </c>
      <c r="M139" s="58">
        <f>L139*H139</f>
        <v>30</v>
      </c>
      <c r="O139" s="59">
        <f>M139</f>
        <v>30</v>
      </c>
      <c r="P139" s="59"/>
      <c r="Q139" s="61"/>
      <c r="R139" s="60">
        <f t="shared" si="78"/>
        <v>0</v>
      </c>
      <c r="S139" s="121"/>
    </row>
    <row r="140" spans="1:19" hidden="1" outlineLevel="1" x14ac:dyDescent="0.2">
      <c r="Q140"/>
      <c r="S140" s="121"/>
    </row>
    <row r="141" spans="1:19" ht="16.5" collapsed="1" x14ac:dyDescent="0.25">
      <c r="B141" s="84" t="s">
        <v>34</v>
      </c>
      <c r="C141" s="53" t="s">
        <v>169</v>
      </c>
      <c r="D141" s="96">
        <v>1</v>
      </c>
      <c r="E141" s="57" t="s">
        <v>9</v>
      </c>
      <c r="F141" s="97">
        <v>1</v>
      </c>
      <c r="G141" s="98" t="s">
        <v>72</v>
      </c>
      <c r="H141" s="99">
        <v>1</v>
      </c>
      <c r="I141" s="55">
        <f>I137</f>
        <v>1</v>
      </c>
      <c r="J141" s="100">
        <f>PRODUTOS!D9</f>
        <v>410</v>
      </c>
      <c r="K141" s="100">
        <f>K138</f>
        <v>85</v>
      </c>
      <c r="L141" s="100">
        <f>L139</f>
        <v>30</v>
      </c>
      <c r="M141" s="100">
        <f>SUM(M137:M139)*D141</f>
        <v>525</v>
      </c>
      <c r="O141" s="59">
        <f>SUM(O137:O139)</f>
        <v>344.6</v>
      </c>
      <c r="P141" s="59">
        <f>P137</f>
        <v>229.6</v>
      </c>
      <c r="Q141" s="61"/>
      <c r="R141" s="60">
        <f>SUM(R137:R139)</f>
        <v>180.4</v>
      </c>
      <c r="S141" s="124"/>
    </row>
    <row r="142" spans="1:19" ht="10.5" customHeight="1" x14ac:dyDescent="0.2">
      <c r="A142" s="121"/>
      <c r="B142" s="121"/>
      <c r="C142" s="121"/>
      <c r="D142" s="121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1"/>
      <c r="P142" s="121"/>
      <c r="Q142" s="122"/>
      <c r="R142" s="121"/>
      <c r="S142" s="121"/>
    </row>
    <row r="143" spans="1:19" ht="16.5" collapsed="1" x14ac:dyDescent="0.25">
      <c r="B143" s="84" t="s">
        <v>172</v>
      </c>
      <c r="C143" s="53" t="s">
        <v>171</v>
      </c>
      <c r="D143" s="96">
        <v>1</v>
      </c>
      <c r="E143" s="57" t="s">
        <v>9</v>
      </c>
      <c r="F143" s="97">
        <v>1</v>
      </c>
      <c r="G143" s="98" t="s">
        <v>72</v>
      </c>
      <c r="H143" s="99">
        <v>1</v>
      </c>
      <c r="I143" s="55">
        <f>I139</f>
        <v>0</v>
      </c>
      <c r="J143" s="100">
        <v>380</v>
      </c>
      <c r="K143" s="100">
        <f>K140</f>
        <v>0</v>
      </c>
      <c r="L143" s="100">
        <v>0</v>
      </c>
      <c r="M143" s="100">
        <v>192</v>
      </c>
      <c r="O143" s="59">
        <f>SUM(O139:O141)</f>
        <v>374.6</v>
      </c>
      <c r="P143" s="59">
        <f>P139</f>
        <v>0</v>
      </c>
      <c r="Q143" s="61"/>
      <c r="R143" s="60">
        <f>SUM(R139:R141)</f>
        <v>180.4</v>
      </c>
      <c r="S143" s="124"/>
    </row>
    <row r="144" spans="1:19" ht="9" customHeight="1" x14ac:dyDescent="0.2">
      <c r="A144" s="121"/>
      <c r="B144" s="121"/>
      <c r="C144" s="121"/>
      <c r="D144" s="121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1"/>
      <c r="P144" s="121"/>
      <c r="Q144" s="122"/>
      <c r="R144" s="121"/>
      <c r="S144" s="12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B050"/>
  </sheetPr>
  <dimension ref="A1:H187"/>
  <sheetViews>
    <sheetView showGridLines="0" workbookViewId="0">
      <pane ySplit="1" topLeftCell="A11" activePane="bottomLeft" state="frozen"/>
      <selection pane="bottomLeft" activeCell="D23" sqref="D23"/>
    </sheetView>
  </sheetViews>
  <sheetFormatPr defaultRowHeight="15" x14ac:dyDescent="0.2"/>
  <cols>
    <col min="1" max="1" width="9.140625" style="31"/>
    <col min="2" max="2" width="55.85546875" style="31" bestFit="1" customWidth="1"/>
    <col min="3" max="3" width="11.85546875" style="31" bestFit="1" customWidth="1"/>
    <col min="4" max="4" width="18.28515625" style="32" bestFit="1" customWidth="1"/>
    <col min="5" max="5" width="1.140625" style="38" customWidth="1"/>
    <col min="6" max="6" width="15.140625" style="32" customWidth="1"/>
    <col min="7" max="7" width="15.85546875" style="32" bestFit="1" customWidth="1"/>
    <col min="8" max="8" width="15.85546875" style="36" bestFit="1" customWidth="1"/>
    <col min="10" max="10" width="12" bestFit="1" customWidth="1"/>
  </cols>
  <sheetData>
    <row r="1" spans="1:8" s="7" customFormat="1" ht="53.25" customHeight="1" thickBot="1" x14ac:dyDescent="0.25">
      <c r="A1" s="18" t="s">
        <v>0</v>
      </c>
      <c r="B1" s="19" t="s">
        <v>1</v>
      </c>
      <c r="C1" s="20" t="s">
        <v>2</v>
      </c>
      <c r="D1" s="21" t="s">
        <v>26</v>
      </c>
      <c r="E1" s="38"/>
      <c r="F1" s="21" t="s">
        <v>27</v>
      </c>
      <c r="G1" s="21" t="s">
        <v>24</v>
      </c>
      <c r="H1" s="33" t="s">
        <v>25</v>
      </c>
    </row>
    <row r="2" spans="1:8" ht="16.5" thickBot="1" x14ac:dyDescent="0.25">
      <c r="A2" s="22"/>
      <c r="B2" s="23"/>
      <c r="C2" s="24"/>
      <c r="D2" s="25"/>
      <c r="F2" s="25"/>
      <c r="G2" s="25"/>
      <c r="H2" s="34"/>
    </row>
    <row r="3" spans="1:8" ht="6" customHeight="1" thickBot="1" x14ac:dyDescent="0.25">
      <c r="A3"/>
      <c r="B3"/>
      <c r="C3"/>
      <c r="D3"/>
      <c r="E3"/>
      <c r="F3"/>
      <c r="G3"/>
      <c r="H3"/>
    </row>
    <row r="4" spans="1:8" ht="18.75" thickBot="1" x14ac:dyDescent="0.3">
      <c r="A4" s="26" t="s">
        <v>58</v>
      </c>
      <c r="B4" s="39" t="s">
        <v>35</v>
      </c>
      <c r="C4" s="40" t="s">
        <v>20</v>
      </c>
      <c r="D4" s="41">
        <v>50</v>
      </c>
      <c r="F4" s="37">
        <f t="shared" ref="F4:F39" si="0">G4*H4+G4</f>
        <v>0</v>
      </c>
      <c r="G4" s="41"/>
      <c r="H4" s="45"/>
    </row>
    <row r="5" spans="1:8" ht="18.75" thickBot="1" x14ac:dyDescent="0.3">
      <c r="A5" s="26" t="s">
        <v>114</v>
      </c>
      <c r="B5" s="39" t="s">
        <v>113</v>
      </c>
      <c r="C5" s="40" t="s">
        <v>21</v>
      </c>
      <c r="D5" s="41">
        <v>20</v>
      </c>
      <c r="F5" s="37"/>
      <c r="G5" s="41"/>
      <c r="H5" s="45"/>
    </row>
    <row r="6" spans="1:8" ht="18.75" thickBot="1" x14ac:dyDescent="0.3">
      <c r="A6" s="26" t="s">
        <v>23</v>
      </c>
      <c r="B6" s="39" t="s">
        <v>36</v>
      </c>
      <c r="C6" s="40" t="s">
        <v>21</v>
      </c>
      <c r="D6" s="41">
        <v>55</v>
      </c>
      <c r="F6" s="37">
        <f t="shared" si="0"/>
        <v>0</v>
      </c>
      <c r="G6" s="41"/>
      <c r="H6" s="45"/>
    </row>
    <row r="7" spans="1:8" ht="6" customHeight="1" thickBot="1" x14ac:dyDescent="0.25">
      <c r="A7"/>
      <c r="B7"/>
      <c r="C7"/>
      <c r="D7"/>
      <c r="E7"/>
      <c r="F7"/>
      <c r="G7"/>
      <c r="H7"/>
    </row>
    <row r="8" spans="1:8" ht="18.75" thickBot="1" x14ac:dyDescent="0.3">
      <c r="A8" s="26" t="s">
        <v>48</v>
      </c>
      <c r="B8" s="39" t="s">
        <v>96</v>
      </c>
      <c r="C8" s="40" t="s">
        <v>20</v>
      </c>
      <c r="D8" s="41">
        <v>350</v>
      </c>
      <c r="F8" s="37">
        <f t="shared" si="0"/>
        <v>0</v>
      </c>
      <c r="G8" s="41"/>
      <c r="H8" s="45"/>
    </row>
    <row r="9" spans="1:8" ht="18.75" thickBot="1" x14ac:dyDescent="0.3">
      <c r="A9" s="26" t="s">
        <v>95</v>
      </c>
      <c r="B9" s="39" t="s">
        <v>97</v>
      </c>
      <c r="C9" s="40" t="s">
        <v>20</v>
      </c>
      <c r="D9" s="41">
        <v>410</v>
      </c>
      <c r="F9" s="37">
        <f t="shared" si="0"/>
        <v>0</v>
      </c>
      <c r="G9" s="41"/>
      <c r="H9" s="45"/>
    </row>
    <row r="10" spans="1:8" ht="6" customHeight="1" thickBot="1" x14ac:dyDescent="0.25">
      <c r="A10"/>
      <c r="B10"/>
      <c r="C10"/>
      <c r="D10"/>
      <c r="E10"/>
      <c r="F10"/>
      <c r="G10"/>
      <c r="H10"/>
    </row>
    <row r="11" spans="1:8" ht="18.75" thickBot="1" x14ac:dyDescent="0.3">
      <c r="A11" s="26" t="s">
        <v>30</v>
      </c>
      <c r="B11" s="39" t="s">
        <v>39</v>
      </c>
      <c r="C11" s="40" t="s">
        <v>20</v>
      </c>
      <c r="D11" s="41">
        <v>500</v>
      </c>
      <c r="F11" s="37">
        <f t="shared" si="0"/>
        <v>0</v>
      </c>
      <c r="G11" s="41"/>
      <c r="H11" s="45"/>
    </row>
    <row r="12" spans="1:8" ht="18.75" thickBot="1" x14ac:dyDescent="0.3">
      <c r="A12" s="26" t="s">
        <v>31</v>
      </c>
      <c r="B12" s="39" t="s">
        <v>40</v>
      </c>
      <c r="C12" s="40" t="s">
        <v>20</v>
      </c>
      <c r="D12" s="41">
        <v>360</v>
      </c>
      <c r="F12" s="37">
        <f t="shared" si="0"/>
        <v>0</v>
      </c>
      <c r="G12" s="41"/>
      <c r="H12" s="45"/>
    </row>
    <row r="13" spans="1:8" ht="18.75" thickBot="1" x14ac:dyDescent="0.3">
      <c r="A13" s="26" t="s">
        <v>32</v>
      </c>
      <c r="B13" s="39" t="s">
        <v>41</v>
      </c>
      <c r="C13" s="40" t="s">
        <v>20</v>
      </c>
      <c r="D13" s="41">
        <v>460</v>
      </c>
      <c r="F13" s="37">
        <f t="shared" si="0"/>
        <v>0</v>
      </c>
      <c r="G13" s="41"/>
      <c r="H13" s="45"/>
    </row>
    <row r="14" spans="1:8" ht="18.75" thickBot="1" x14ac:dyDescent="0.3">
      <c r="A14" s="26" t="s">
        <v>125</v>
      </c>
      <c r="B14" s="39" t="s">
        <v>126</v>
      </c>
      <c r="C14" s="40" t="s">
        <v>21</v>
      </c>
      <c r="D14" s="41">
        <v>80</v>
      </c>
      <c r="F14" s="37">
        <f t="shared" ref="F14" si="1">G14*H14+G14</f>
        <v>0</v>
      </c>
      <c r="G14" s="41"/>
      <c r="H14" s="45"/>
    </row>
    <row r="15" spans="1:8" ht="18.75" thickBot="1" x14ac:dyDescent="0.3">
      <c r="A15" s="26" t="s">
        <v>124</v>
      </c>
      <c r="B15" s="39" t="s">
        <v>123</v>
      </c>
      <c r="C15" s="40" t="s">
        <v>21</v>
      </c>
      <c r="D15" s="41">
        <v>70</v>
      </c>
      <c r="F15" s="37">
        <f t="shared" si="0"/>
        <v>0</v>
      </c>
      <c r="G15" s="41"/>
      <c r="H15" s="45"/>
    </row>
    <row r="16" spans="1:8" ht="6" customHeight="1" thickBot="1" x14ac:dyDescent="0.25">
      <c r="A16"/>
      <c r="B16"/>
      <c r="C16"/>
      <c r="D16"/>
      <c r="E16"/>
      <c r="F16"/>
      <c r="G16"/>
      <c r="H16"/>
    </row>
    <row r="17" spans="1:8" ht="18.75" thickBot="1" x14ac:dyDescent="0.3">
      <c r="A17" s="26" t="s">
        <v>98</v>
      </c>
      <c r="B17" s="39" t="s">
        <v>99</v>
      </c>
      <c r="C17" s="40" t="s">
        <v>20</v>
      </c>
      <c r="D17" s="41">
        <v>330</v>
      </c>
      <c r="F17" s="37">
        <f t="shared" si="0"/>
        <v>0</v>
      </c>
      <c r="G17" s="41"/>
      <c r="H17" s="45"/>
    </row>
    <row r="18" spans="1:8" ht="18.75" thickBot="1" x14ac:dyDescent="0.3">
      <c r="A18" s="26" t="s">
        <v>47</v>
      </c>
      <c r="B18" s="39" t="s">
        <v>46</v>
      </c>
      <c r="C18" s="40" t="s">
        <v>20</v>
      </c>
      <c r="D18" s="41">
        <v>300</v>
      </c>
      <c r="F18" s="37">
        <f t="shared" si="0"/>
        <v>0</v>
      </c>
      <c r="G18" s="41"/>
      <c r="H18" s="45"/>
    </row>
    <row r="19" spans="1:8" ht="18.75" thickBot="1" x14ac:dyDescent="0.3">
      <c r="A19" s="26" t="s">
        <v>60</v>
      </c>
      <c r="B19" s="39" t="s">
        <v>59</v>
      </c>
      <c r="C19" s="40" t="s">
        <v>20</v>
      </c>
      <c r="D19" s="41">
        <v>85</v>
      </c>
      <c r="F19" s="37">
        <f t="shared" si="0"/>
        <v>0</v>
      </c>
      <c r="G19" s="41"/>
      <c r="H19" s="45"/>
    </row>
    <row r="20" spans="1:8" ht="6" customHeight="1" thickBot="1" x14ac:dyDescent="0.25">
      <c r="A20"/>
      <c r="B20"/>
      <c r="C20"/>
      <c r="D20"/>
      <c r="E20"/>
      <c r="F20"/>
      <c r="G20"/>
      <c r="H20"/>
    </row>
    <row r="21" spans="1:8" ht="18.75" thickBot="1" x14ac:dyDescent="0.3">
      <c r="A21" s="26" t="s">
        <v>29</v>
      </c>
      <c r="B21" s="39" t="s">
        <v>37</v>
      </c>
      <c r="C21" s="40" t="s">
        <v>21</v>
      </c>
      <c r="D21" s="41">
        <v>85</v>
      </c>
      <c r="F21" s="37">
        <f t="shared" si="0"/>
        <v>0</v>
      </c>
      <c r="G21" s="41"/>
      <c r="H21" s="45"/>
    </row>
    <row r="22" spans="1:8" ht="18.75" thickBot="1" x14ac:dyDescent="0.3">
      <c r="A22" s="26" t="s">
        <v>76</v>
      </c>
      <c r="B22" s="39" t="s">
        <v>75</v>
      </c>
      <c r="C22" s="40" t="s">
        <v>21</v>
      </c>
      <c r="D22" s="41">
        <v>85</v>
      </c>
      <c r="F22" s="37">
        <f t="shared" si="0"/>
        <v>0</v>
      </c>
      <c r="G22" s="41"/>
      <c r="H22" s="45"/>
    </row>
    <row r="23" spans="1:8" ht="18.75" thickBot="1" x14ac:dyDescent="0.3">
      <c r="A23" s="26" t="s">
        <v>120</v>
      </c>
      <c r="B23" s="39" t="s">
        <v>119</v>
      </c>
      <c r="C23" s="40" t="s">
        <v>21</v>
      </c>
      <c r="D23" s="41">
        <v>120</v>
      </c>
      <c r="F23" s="37">
        <f t="shared" ref="F23" si="2">G23*H23+G23</f>
        <v>0</v>
      </c>
      <c r="G23" s="41"/>
      <c r="H23" s="45"/>
    </row>
    <row r="24" spans="1:8" ht="18.75" thickBot="1" x14ac:dyDescent="0.3">
      <c r="A24" s="26" t="s">
        <v>139</v>
      </c>
      <c r="B24" s="39" t="s">
        <v>140</v>
      </c>
      <c r="C24" s="40" t="s">
        <v>21</v>
      </c>
      <c r="D24" s="41">
        <v>30</v>
      </c>
      <c r="F24" s="37"/>
      <c r="G24" s="41"/>
      <c r="H24" s="45"/>
    </row>
    <row r="25" spans="1:8" ht="18.75" thickBot="1" x14ac:dyDescent="0.3">
      <c r="A25" s="26" t="s">
        <v>82</v>
      </c>
      <c r="B25" s="39" t="s">
        <v>83</v>
      </c>
      <c r="C25" s="40" t="s">
        <v>21</v>
      </c>
      <c r="D25" s="41">
        <v>60</v>
      </c>
      <c r="F25" s="37"/>
      <c r="G25" s="41"/>
      <c r="H25" s="45"/>
    </row>
    <row r="26" spans="1:8" ht="18.75" thickBot="1" x14ac:dyDescent="0.3">
      <c r="A26" s="26" t="s">
        <v>77</v>
      </c>
      <c r="B26" s="39" t="s">
        <v>78</v>
      </c>
      <c r="C26" s="40" t="s">
        <v>21</v>
      </c>
      <c r="D26" s="41">
        <v>70</v>
      </c>
      <c r="F26" s="37"/>
      <c r="G26" s="41"/>
      <c r="H26" s="45"/>
    </row>
    <row r="27" spans="1:8" ht="18.75" thickBot="1" x14ac:dyDescent="0.3">
      <c r="A27" s="26" t="s">
        <v>22</v>
      </c>
      <c r="B27" s="39" t="s">
        <v>79</v>
      </c>
      <c r="C27" s="40" t="s">
        <v>21</v>
      </c>
      <c r="D27" s="41">
        <v>55</v>
      </c>
      <c r="F27" s="37"/>
      <c r="G27" s="41"/>
      <c r="H27" s="45"/>
    </row>
    <row r="28" spans="1:8" ht="18.75" thickBot="1" x14ac:dyDescent="0.3">
      <c r="A28" s="26" t="s">
        <v>62</v>
      </c>
      <c r="B28" s="39" t="s">
        <v>61</v>
      </c>
      <c r="C28" s="40" t="s">
        <v>21</v>
      </c>
      <c r="D28" s="41">
        <v>80</v>
      </c>
      <c r="F28" s="37">
        <f t="shared" si="0"/>
        <v>0</v>
      </c>
      <c r="G28" s="41"/>
      <c r="H28" s="45"/>
    </row>
    <row r="29" spans="1:8" ht="6" customHeight="1" thickBot="1" x14ac:dyDescent="0.25">
      <c r="A29"/>
      <c r="B29"/>
      <c r="C29"/>
      <c r="D29"/>
      <c r="E29"/>
      <c r="F29"/>
      <c r="G29"/>
      <c r="H29"/>
    </row>
    <row r="30" spans="1:8" ht="18.75" thickBot="1" x14ac:dyDescent="0.3">
      <c r="A30" s="26" t="s">
        <v>28</v>
      </c>
      <c r="B30" s="39" t="s">
        <v>38</v>
      </c>
      <c r="C30" s="40" t="s">
        <v>21</v>
      </c>
      <c r="D30" s="41">
        <v>50</v>
      </c>
      <c r="F30" s="37">
        <f t="shared" si="0"/>
        <v>0</v>
      </c>
      <c r="G30" s="41"/>
      <c r="H30" s="45"/>
    </row>
    <row r="31" spans="1:8" ht="6" customHeight="1" thickBot="1" x14ac:dyDescent="0.25">
      <c r="A31"/>
      <c r="B31"/>
      <c r="C31"/>
      <c r="D31"/>
      <c r="E31"/>
      <c r="F31"/>
      <c r="G31"/>
      <c r="H31"/>
    </row>
    <row r="32" spans="1:8" ht="18.75" thickBot="1" x14ac:dyDescent="0.3">
      <c r="A32" s="26" t="s">
        <v>45</v>
      </c>
      <c r="B32" s="39" t="s">
        <v>44</v>
      </c>
      <c r="C32" s="40" t="s">
        <v>20</v>
      </c>
      <c r="D32" s="41">
        <v>240</v>
      </c>
      <c r="F32" s="37">
        <f t="shared" ref="F32:F33" si="3">G32*H32+G32</f>
        <v>0</v>
      </c>
      <c r="G32" s="41"/>
      <c r="H32" s="45"/>
    </row>
    <row r="33" spans="1:8" ht="18.75" thickBot="1" x14ac:dyDescent="0.3">
      <c r="A33" s="26" t="s">
        <v>42</v>
      </c>
      <c r="B33" s="39" t="s">
        <v>43</v>
      </c>
      <c r="C33" s="40" t="s">
        <v>20</v>
      </c>
      <c r="D33" s="41">
        <v>290</v>
      </c>
      <c r="F33" s="37">
        <f t="shared" si="3"/>
        <v>0</v>
      </c>
      <c r="G33" s="41"/>
      <c r="H33" s="45"/>
    </row>
    <row r="34" spans="1:8" ht="18.75" thickBot="1" x14ac:dyDescent="0.3">
      <c r="A34" s="26" t="s">
        <v>66</v>
      </c>
      <c r="B34" s="39" t="s">
        <v>67</v>
      </c>
      <c r="C34" s="40" t="s">
        <v>20</v>
      </c>
      <c r="D34" s="41">
        <v>470</v>
      </c>
      <c r="F34" s="37">
        <f t="shared" si="0"/>
        <v>0</v>
      </c>
      <c r="G34" s="41"/>
      <c r="H34" s="45"/>
    </row>
    <row r="35" spans="1:8" ht="18.75" thickBot="1" x14ac:dyDescent="0.3">
      <c r="A35" s="26" t="s">
        <v>70</v>
      </c>
      <c r="B35" s="39" t="s">
        <v>69</v>
      </c>
      <c r="C35" s="40" t="s">
        <v>20</v>
      </c>
      <c r="D35" s="41">
        <v>200</v>
      </c>
      <c r="F35" s="37">
        <f t="shared" si="0"/>
        <v>0</v>
      </c>
      <c r="G35" s="41"/>
      <c r="H35" s="45"/>
    </row>
    <row r="36" spans="1:8" ht="18.75" thickBot="1" x14ac:dyDescent="0.3">
      <c r="A36" s="26" t="s">
        <v>65</v>
      </c>
      <c r="B36" s="39" t="s">
        <v>68</v>
      </c>
      <c r="C36" s="40" t="s">
        <v>20</v>
      </c>
      <c r="D36" s="41">
        <v>360</v>
      </c>
      <c r="F36" s="37">
        <f t="shared" si="0"/>
        <v>0</v>
      </c>
      <c r="G36" s="41"/>
      <c r="H36" s="45"/>
    </row>
    <row r="37" spans="1:8" ht="18.75" thickBot="1" x14ac:dyDescent="0.3">
      <c r="A37" s="26" t="s">
        <v>108</v>
      </c>
      <c r="B37" s="39" t="s">
        <v>93</v>
      </c>
      <c r="C37" s="40" t="s">
        <v>20</v>
      </c>
      <c r="D37" s="41">
        <v>80</v>
      </c>
      <c r="F37" s="37">
        <f t="shared" si="0"/>
        <v>0</v>
      </c>
      <c r="G37" s="41"/>
      <c r="H37" s="45"/>
    </row>
    <row r="38" spans="1:8" ht="18.75" thickBot="1" x14ac:dyDescent="0.3">
      <c r="A38" s="26" t="s">
        <v>64</v>
      </c>
      <c r="B38" s="39" t="s">
        <v>94</v>
      </c>
      <c r="C38" s="40" t="s">
        <v>20</v>
      </c>
      <c r="D38" s="41">
        <v>460</v>
      </c>
      <c r="F38" s="37">
        <f t="shared" si="0"/>
        <v>0</v>
      </c>
      <c r="G38" s="41"/>
      <c r="H38" s="45"/>
    </row>
    <row r="39" spans="1:8" ht="18.75" thickBot="1" x14ac:dyDescent="0.3">
      <c r="A39" s="26" t="s">
        <v>111</v>
      </c>
      <c r="B39" s="39" t="s">
        <v>109</v>
      </c>
      <c r="C39" s="40" t="s">
        <v>20</v>
      </c>
      <c r="D39" s="41">
        <v>550</v>
      </c>
      <c r="F39" s="37">
        <f t="shared" si="0"/>
        <v>0</v>
      </c>
      <c r="G39" s="41"/>
      <c r="H39" s="45"/>
    </row>
    <row r="40" spans="1:8" ht="18.75" thickBot="1" x14ac:dyDescent="0.3">
      <c r="A40" s="26" t="s">
        <v>110</v>
      </c>
      <c r="B40" s="39" t="s">
        <v>112</v>
      </c>
      <c r="C40" s="40" t="s">
        <v>20</v>
      </c>
      <c r="D40" s="41">
        <v>500</v>
      </c>
      <c r="F40" s="37">
        <f t="shared" ref="F40:F53" si="4">G40*H40+G40</f>
        <v>0</v>
      </c>
      <c r="G40" s="41"/>
      <c r="H40" s="45"/>
    </row>
    <row r="41" spans="1:8" ht="18.75" thickBot="1" x14ac:dyDescent="0.3">
      <c r="A41" s="26" t="s">
        <v>143</v>
      </c>
      <c r="B41" s="39" t="s">
        <v>142</v>
      </c>
      <c r="C41" s="40" t="s">
        <v>20</v>
      </c>
      <c r="D41" s="41">
        <v>410</v>
      </c>
      <c r="F41" s="37">
        <f t="shared" si="4"/>
        <v>0</v>
      </c>
      <c r="G41" s="41"/>
      <c r="H41" s="45"/>
    </row>
    <row r="42" spans="1:8" ht="18.75" thickBot="1" x14ac:dyDescent="0.3">
      <c r="A42" s="26"/>
      <c r="B42" s="39"/>
      <c r="C42" s="40"/>
      <c r="D42" s="41"/>
      <c r="F42" s="37">
        <f t="shared" si="4"/>
        <v>0</v>
      </c>
      <c r="G42" s="41"/>
      <c r="H42" s="45"/>
    </row>
    <row r="43" spans="1:8" ht="18.75" thickBot="1" x14ac:dyDescent="0.3">
      <c r="A43" s="26" t="s">
        <v>101</v>
      </c>
      <c r="B43" s="39" t="s">
        <v>100</v>
      </c>
      <c r="C43" s="40" t="s">
        <v>9</v>
      </c>
      <c r="D43" s="41">
        <v>720</v>
      </c>
      <c r="F43" s="37">
        <f t="shared" si="4"/>
        <v>0</v>
      </c>
      <c r="G43" s="41"/>
      <c r="H43" s="45"/>
    </row>
    <row r="44" spans="1:8" ht="18.75" thickBot="1" x14ac:dyDescent="0.3">
      <c r="A44" s="26" t="s">
        <v>102</v>
      </c>
      <c r="B44" s="39" t="s">
        <v>103</v>
      </c>
      <c r="C44" s="40" t="s">
        <v>9</v>
      </c>
      <c r="D44" s="41">
        <v>680</v>
      </c>
      <c r="F44" s="37">
        <f t="shared" si="4"/>
        <v>0</v>
      </c>
      <c r="G44" s="41"/>
      <c r="H44" s="45"/>
    </row>
    <row r="45" spans="1:8" ht="18.75" thickBot="1" x14ac:dyDescent="0.3">
      <c r="A45" s="26" t="s">
        <v>30</v>
      </c>
      <c r="B45" s="39" t="s">
        <v>145</v>
      </c>
      <c r="C45" s="40" t="s">
        <v>9</v>
      </c>
      <c r="D45" s="41">
        <v>600</v>
      </c>
      <c r="F45" s="37">
        <f t="shared" si="4"/>
        <v>0</v>
      </c>
      <c r="G45" s="41"/>
      <c r="H45" s="45"/>
    </row>
    <row r="46" spans="1:8" ht="18.75" thickBot="1" x14ac:dyDescent="0.3">
      <c r="A46" s="26" t="s">
        <v>31</v>
      </c>
      <c r="B46" s="39" t="s">
        <v>146</v>
      </c>
      <c r="C46" s="40" t="s">
        <v>9</v>
      </c>
      <c r="D46" s="41">
        <v>385</v>
      </c>
      <c r="F46" s="37">
        <f t="shared" si="4"/>
        <v>0</v>
      </c>
      <c r="G46" s="41"/>
      <c r="H46" s="45"/>
    </row>
    <row r="47" spans="1:8" ht="18.75" thickBot="1" x14ac:dyDescent="0.3">
      <c r="A47" s="26" t="s">
        <v>149</v>
      </c>
      <c r="B47" s="39" t="s">
        <v>147</v>
      </c>
      <c r="C47" s="40" t="s">
        <v>9</v>
      </c>
      <c r="D47" s="41">
        <v>400</v>
      </c>
      <c r="F47" s="37">
        <f t="shared" si="4"/>
        <v>0</v>
      </c>
      <c r="G47" s="41"/>
      <c r="H47" s="45"/>
    </row>
    <row r="48" spans="1:8" ht="18.75" thickBot="1" x14ac:dyDescent="0.3">
      <c r="A48" s="26" t="s">
        <v>150</v>
      </c>
      <c r="B48" s="39" t="s">
        <v>148</v>
      </c>
      <c r="C48" s="40" t="s">
        <v>9</v>
      </c>
      <c r="D48" s="41">
        <v>530</v>
      </c>
      <c r="F48" s="37">
        <f t="shared" si="4"/>
        <v>0</v>
      </c>
      <c r="G48" s="41"/>
      <c r="H48" s="45"/>
    </row>
    <row r="49" spans="1:8" ht="18.75" thickBot="1" x14ac:dyDescent="0.3">
      <c r="A49" s="26" t="s">
        <v>151</v>
      </c>
      <c r="B49" s="39" t="s">
        <v>152</v>
      </c>
      <c r="C49" s="40" t="s">
        <v>9</v>
      </c>
      <c r="D49" s="41">
        <v>520</v>
      </c>
      <c r="F49" s="37">
        <f t="shared" si="4"/>
        <v>0</v>
      </c>
      <c r="G49" s="41"/>
      <c r="H49" s="45"/>
    </row>
    <row r="50" spans="1:8" ht="18.75" thickBot="1" x14ac:dyDescent="0.3">
      <c r="A50" s="26" t="s">
        <v>154</v>
      </c>
      <c r="B50" s="39" t="s">
        <v>153</v>
      </c>
      <c r="C50" s="40" t="s">
        <v>9</v>
      </c>
      <c r="D50" s="41">
        <v>385</v>
      </c>
      <c r="F50" s="37">
        <f t="shared" si="4"/>
        <v>0</v>
      </c>
      <c r="G50" s="41"/>
      <c r="H50" s="45"/>
    </row>
    <row r="51" spans="1:8" ht="18.75" thickBot="1" x14ac:dyDescent="0.3">
      <c r="A51" s="26" t="s">
        <v>155</v>
      </c>
      <c r="B51" s="39" t="s">
        <v>156</v>
      </c>
      <c r="C51" s="40" t="s">
        <v>9</v>
      </c>
      <c r="D51" s="41">
        <v>450</v>
      </c>
      <c r="F51" s="37">
        <f t="shared" si="4"/>
        <v>0</v>
      </c>
      <c r="G51" s="41"/>
      <c r="H51" s="45"/>
    </row>
    <row r="52" spans="1:8" ht="18.75" thickBot="1" x14ac:dyDescent="0.3">
      <c r="A52" s="26" t="s">
        <v>45</v>
      </c>
      <c r="B52" s="39" t="s">
        <v>158</v>
      </c>
      <c r="C52" s="40" t="s">
        <v>9</v>
      </c>
      <c r="D52" s="41">
        <v>250</v>
      </c>
      <c r="F52" s="37">
        <f t="shared" si="4"/>
        <v>0</v>
      </c>
      <c r="G52" s="41"/>
      <c r="H52" s="45"/>
    </row>
    <row r="53" spans="1:8" ht="18.75" thickBot="1" x14ac:dyDescent="0.3">
      <c r="A53" s="26" t="s">
        <v>42</v>
      </c>
      <c r="B53" s="39" t="s">
        <v>157</v>
      </c>
      <c r="C53" s="40" t="s">
        <v>9</v>
      </c>
      <c r="D53" s="41">
        <v>290</v>
      </c>
      <c r="F53" s="37">
        <f t="shared" si="4"/>
        <v>0</v>
      </c>
      <c r="G53" s="41"/>
      <c r="H53" s="45"/>
    </row>
    <row r="54" spans="1:8" ht="18.75" thickBot="1" x14ac:dyDescent="0.3">
      <c r="A54" s="26"/>
      <c r="B54" s="39"/>
      <c r="C54" s="40"/>
      <c r="D54" s="41"/>
      <c r="F54" s="37">
        <f t="shared" ref="F54:F116" si="5">G54*H54+G54</f>
        <v>0</v>
      </c>
      <c r="G54" s="41"/>
      <c r="H54" s="45"/>
    </row>
    <row r="55" spans="1:8" ht="18.75" thickBot="1" x14ac:dyDescent="0.3">
      <c r="A55" s="26" t="s">
        <v>178</v>
      </c>
      <c r="B55" s="39" t="s">
        <v>179</v>
      </c>
      <c r="C55" s="40" t="s">
        <v>5</v>
      </c>
      <c r="D55" s="41">
        <v>40</v>
      </c>
      <c r="F55" s="37">
        <f t="shared" si="5"/>
        <v>0</v>
      </c>
      <c r="G55" s="41"/>
      <c r="H55" s="45"/>
    </row>
    <row r="56" spans="1:8" ht="18.75" thickBot="1" x14ac:dyDescent="0.3">
      <c r="A56" s="26"/>
      <c r="B56" s="39"/>
      <c r="C56" s="40"/>
      <c r="D56" s="41"/>
      <c r="F56" s="37">
        <f t="shared" si="5"/>
        <v>0</v>
      </c>
      <c r="G56" s="41"/>
      <c r="H56" s="45"/>
    </row>
    <row r="57" spans="1:8" ht="18.75" thickBot="1" x14ac:dyDescent="0.3">
      <c r="A57" s="26"/>
      <c r="B57" s="39"/>
      <c r="C57" s="40"/>
      <c r="D57" s="41"/>
      <c r="F57" s="37">
        <f t="shared" si="5"/>
        <v>0</v>
      </c>
      <c r="G57" s="41"/>
      <c r="H57" s="45"/>
    </row>
    <row r="58" spans="1:8" ht="18.75" thickBot="1" x14ac:dyDescent="0.3">
      <c r="A58" s="26"/>
      <c r="B58" s="39"/>
      <c r="C58" s="40"/>
      <c r="D58" s="41"/>
      <c r="F58" s="37">
        <f t="shared" si="5"/>
        <v>0</v>
      </c>
      <c r="G58" s="41"/>
      <c r="H58" s="45"/>
    </row>
    <row r="59" spans="1:8" ht="18.75" thickBot="1" x14ac:dyDescent="0.3">
      <c r="A59" s="26"/>
      <c r="B59" s="39"/>
      <c r="C59" s="40"/>
      <c r="D59" s="41"/>
      <c r="F59" s="37">
        <f t="shared" si="5"/>
        <v>0</v>
      </c>
      <c r="G59" s="41"/>
      <c r="H59" s="45"/>
    </row>
    <row r="60" spans="1:8" ht="18.75" thickBot="1" x14ac:dyDescent="0.3">
      <c r="A60" s="26"/>
      <c r="B60" s="39"/>
      <c r="C60" s="40"/>
      <c r="D60" s="41"/>
      <c r="F60" s="37">
        <f t="shared" si="5"/>
        <v>0</v>
      </c>
      <c r="G60" s="41"/>
      <c r="H60" s="45"/>
    </row>
    <row r="61" spans="1:8" ht="18.75" thickBot="1" x14ac:dyDescent="0.3">
      <c r="A61" s="26"/>
      <c r="B61" s="39"/>
      <c r="C61" s="40"/>
      <c r="D61" s="41"/>
      <c r="F61" s="37">
        <f t="shared" si="5"/>
        <v>0</v>
      </c>
      <c r="G61" s="41"/>
      <c r="H61" s="45"/>
    </row>
    <row r="62" spans="1:8" ht="18.75" thickBot="1" x14ac:dyDescent="0.3">
      <c r="A62" s="26"/>
      <c r="B62" s="39"/>
      <c r="C62" s="40"/>
      <c r="D62" s="41"/>
      <c r="F62" s="37">
        <f t="shared" si="5"/>
        <v>0</v>
      </c>
      <c r="G62" s="41"/>
      <c r="H62" s="45"/>
    </row>
    <row r="63" spans="1:8" ht="18.75" thickBot="1" x14ac:dyDescent="0.3">
      <c r="A63" s="26"/>
      <c r="B63" s="39"/>
      <c r="C63" s="40"/>
      <c r="D63" s="41"/>
      <c r="F63" s="37">
        <f t="shared" si="5"/>
        <v>0</v>
      </c>
      <c r="G63" s="41"/>
      <c r="H63" s="45"/>
    </row>
    <row r="64" spans="1:8" ht="18.75" thickBot="1" x14ac:dyDescent="0.3">
      <c r="A64" s="26"/>
      <c r="B64" s="39"/>
      <c r="C64" s="40"/>
      <c r="D64" s="41"/>
      <c r="F64" s="37">
        <f t="shared" si="5"/>
        <v>0</v>
      </c>
      <c r="G64" s="41"/>
      <c r="H64" s="45"/>
    </row>
    <row r="65" spans="1:8" ht="18.75" thickBot="1" x14ac:dyDescent="0.3">
      <c r="A65" s="26"/>
      <c r="B65" s="39"/>
      <c r="C65" s="40"/>
      <c r="D65" s="41"/>
      <c r="F65" s="37">
        <f t="shared" si="5"/>
        <v>0</v>
      </c>
      <c r="G65" s="41"/>
      <c r="H65" s="45"/>
    </row>
    <row r="66" spans="1:8" ht="18.75" thickBot="1" x14ac:dyDescent="0.3">
      <c r="A66" s="26"/>
      <c r="B66" s="39"/>
      <c r="C66" s="40"/>
      <c r="D66" s="41"/>
      <c r="F66" s="37">
        <f t="shared" si="5"/>
        <v>0</v>
      </c>
      <c r="G66" s="41"/>
      <c r="H66" s="45"/>
    </row>
    <row r="67" spans="1:8" ht="18.75" thickBot="1" x14ac:dyDescent="0.3">
      <c r="A67" s="26"/>
      <c r="B67" s="39"/>
      <c r="C67" s="40"/>
      <c r="D67" s="41"/>
      <c r="F67" s="37">
        <f t="shared" si="5"/>
        <v>0</v>
      </c>
      <c r="G67" s="41"/>
      <c r="H67" s="45"/>
    </row>
    <row r="68" spans="1:8" ht="18.75" thickBot="1" x14ac:dyDescent="0.3">
      <c r="A68" s="26"/>
      <c r="B68" s="39"/>
      <c r="C68" s="40"/>
      <c r="D68" s="41"/>
      <c r="F68" s="37">
        <f t="shared" si="5"/>
        <v>0</v>
      </c>
      <c r="G68" s="41"/>
      <c r="H68" s="45"/>
    </row>
    <row r="69" spans="1:8" ht="18.75" thickBot="1" x14ac:dyDescent="0.3">
      <c r="A69" s="26"/>
      <c r="B69" s="39"/>
      <c r="C69" s="40"/>
      <c r="D69" s="41"/>
      <c r="F69" s="37">
        <f t="shared" si="5"/>
        <v>0</v>
      </c>
      <c r="G69" s="41"/>
      <c r="H69" s="45"/>
    </row>
    <row r="70" spans="1:8" ht="18.75" thickBot="1" x14ac:dyDescent="0.3">
      <c r="A70" s="26"/>
      <c r="B70" s="39"/>
      <c r="C70" s="40"/>
      <c r="D70" s="41"/>
      <c r="F70" s="37">
        <f t="shared" si="5"/>
        <v>0</v>
      </c>
      <c r="G70" s="41"/>
      <c r="H70" s="45"/>
    </row>
    <row r="71" spans="1:8" ht="18.75" thickBot="1" x14ac:dyDescent="0.3">
      <c r="A71" s="26"/>
      <c r="B71" s="39"/>
      <c r="C71" s="40"/>
      <c r="D71" s="41"/>
      <c r="F71" s="37">
        <f t="shared" si="5"/>
        <v>0</v>
      </c>
      <c r="G71" s="41"/>
      <c r="H71" s="45"/>
    </row>
    <row r="72" spans="1:8" ht="18.75" thickBot="1" x14ac:dyDescent="0.3">
      <c r="A72" s="26"/>
      <c r="B72" s="39"/>
      <c r="C72" s="40"/>
      <c r="D72" s="41"/>
      <c r="F72" s="37">
        <f t="shared" si="5"/>
        <v>0</v>
      </c>
      <c r="G72" s="41"/>
      <c r="H72" s="45"/>
    </row>
    <row r="73" spans="1:8" ht="18.75" thickBot="1" x14ac:dyDescent="0.3">
      <c r="A73" s="26"/>
      <c r="B73" s="39"/>
      <c r="C73" s="40"/>
      <c r="D73" s="41"/>
      <c r="F73" s="37">
        <f t="shared" si="5"/>
        <v>0</v>
      </c>
      <c r="G73" s="41"/>
      <c r="H73" s="45"/>
    </row>
    <row r="74" spans="1:8" ht="18.75" thickBot="1" x14ac:dyDescent="0.3">
      <c r="A74" s="26"/>
      <c r="B74" s="39"/>
      <c r="C74" s="40"/>
      <c r="D74" s="41"/>
      <c r="F74" s="37">
        <f t="shared" si="5"/>
        <v>0</v>
      </c>
      <c r="G74" s="41"/>
      <c r="H74" s="45"/>
    </row>
    <row r="75" spans="1:8" ht="18.75" thickBot="1" x14ac:dyDescent="0.3">
      <c r="A75" s="26"/>
      <c r="B75" s="39"/>
      <c r="C75" s="40"/>
      <c r="D75" s="41"/>
      <c r="F75" s="37">
        <f t="shared" si="5"/>
        <v>0</v>
      </c>
      <c r="G75" s="41"/>
      <c r="H75" s="45"/>
    </row>
    <row r="76" spans="1:8" ht="18.75" thickBot="1" x14ac:dyDescent="0.3">
      <c r="A76" s="26"/>
      <c r="B76" s="39"/>
      <c r="C76" s="40"/>
      <c r="D76" s="41"/>
      <c r="F76" s="37">
        <f t="shared" si="5"/>
        <v>0</v>
      </c>
      <c r="G76" s="41"/>
      <c r="H76" s="45"/>
    </row>
    <row r="77" spans="1:8" ht="18.75" thickBot="1" x14ac:dyDescent="0.3">
      <c r="A77" s="26"/>
      <c r="B77" s="39"/>
      <c r="C77" s="40"/>
      <c r="D77" s="41"/>
      <c r="F77" s="37">
        <f t="shared" si="5"/>
        <v>0</v>
      </c>
      <c r="G77" s="41"/>
      <c r="H77" s="45"/>
    </row>
    <row r="78" spans="1:8" ht="18.75" thickBot="1" x14ac:dyDescent="0.3">
      <c r="A78" s="26"/>
      <c r="B78" s="39"/>
      <c r="C78" s="40"/>
      <c r="D78" s="41"/>
      <c r="F78" s="37">
        <f t="shared" si="5"/>
        <v>0</v>
      </c>
      <c r="G78" s="41"/>
      <c r="H78" s="45"/>
    </row>
    <row r="79" spans="1:8" ht="18.75" thickBot="1" x14ac:dyDescent="0.3">
      <c r="A79" s="26"/>
      <c r="B79" s="39"/>
      <c r="C79" s="40"/>
      <c r="D79" s="41"/>
      <c r="F79" s="37">
        <f t="shared" si="5"/>
        <v>0</v>
      </c>
      <c r="G79" s="41"/>
      <c r="H79" s="45"/>
    </row>
    <row r="80" spans="1:8" ht="18.75" thickBot="1" x14ac:dyDescent="0.3">
      <c r="A80" s="26"/>
      <c r="B80" s="39"/>
      <c r="C80" s="40"/>
      <c r="D80" s="41"/>
      <c r="F80" s="37">
        <f t="shared" si="5"/>
        <v>0</v>
      </c>
      <c r="G80" s="41"/>
      <c r="H80" s="45"/>
    </row>
    <row r="81" spans="1:8" ht="18.75" thickBot="1" x14ac:dyDescent="0.3">
      <c r="A81" s="26"/>
      <c r="B81" s="39"/>
      <c r="C81" s="40"/>
      <c r="D81" s="41"/>
      <c r="F81" s="37">
        <f t="shared" si="5"/>
        <v>0</v>
      </c>
      <c r="G81" s="41"/>
      <c r="H81" s="45"/>
    </row>
    <row r="82" spans="1:8" ht="18.75" thickBot="1" x14ac:dyDescent="0.3">
      <c r="A82" s="26"/>
      <c r="B82" s="39"/>
      <c r="C82" s="40"/>
      <c r="D82" s="41"/>
      <c r="F82" s="37">
        <f t="shared" si="5"/>
        <v>0</v>
      </c>
      <c r="G82" s="41"/>
      <c r="H82" s="45"/>
    </row>
    <row r="83" spans="1:8" ht="18.75" thickBot="1" x14ac:dyDescent="0.3">
      <c r="A83" s="26"/>
      <c r="B83" s="39"/>
      <c r="C83" s="40"/>
      <c r="D83" s="41"/>
      <c r="F83" s="37">
        <f t="shared" si="5"/>
        <v>0</v>
      </c>
      <c r="G83" s="41"/>
      <c r="H83" s="45"/>
    </row>
    <row r="84" spans="1:8" ht="18.75" thickBot="1" x14ac:dyDescent="0.3">
      <c r="A84" s="26"/>
      <c r="B84" s="39"/>
      <c r="C84" s="40"/>
      <c r="D84" s="41"/>
      <c r="F84" s="37">
        <f t="shared" si="5"/>
        <v>0</v>
      </c>
      <c r="G84" s="41"/>
      <c r="H84" s="45"/>
    </row>
    <row r="85" spans="1:8" ht="18.75" thickBot="1" x14ac:dyDescent="0.3">
      <c r="A85" s="26"/>
      <c r="B85" s="39"/>
      <c r="C85" s="40"/>
      <c r="D85" s="41"/>
      <c r="F85" s="37">
        <f t="shared" si="5"/>
        <v>0</v>
      </c>
      <c r="G85" s="41"/>
      <c r="H85" s="45"/>
    </row>
    <row r="86" spans="1:8" ht="18.75" thickBot="1" x14ac:dyDescent="0.3">
      <c r="A86" s="26"/>
      <c r="B86" s="39"/>
      <c r="C86" s="40"/>
      <c r="D86" s="41"/>
      <c r="F86" s="37">
        <f t="shared" si="5"/>
        <v>0</v>
      </c>
      <c r="G86" s="41"/>
      <c r="H86" s="45"/>
    </row>
    <row r="87" spans="1:8" ht="18.75" thickBot="1" x14ac:dyDescent="0.3">
      <c r="A87" s="26"/>
      <c r="B87" s="39"/>
      <c r="C87" s="40"/>
      <c r="D87" s="41"/>
      <c r="F87" s="37">
        <f t="shared" si="5"/>
        <v>0</v>
      </c>
      <c r="G87" s="41"/>
      <c r="H87" s="45"/>
    </row>
    <row r="88" spans="1:8" ht="18.75" thickBot="1" x14ac:dyDescent="0.3">
      <c r="A88" s="26"/>
      <c r="B88" s="39"/>
      <c r="C88" s="40"/>
      <c r="D88" s="41"/>
      <c r="F88" s="37">
        <f t="shared" si="5"/>
        <v>0</v>
      </c>
      <c r="G88" s="41"/>
      <c r="H88" s="45"/>
    </row>
    <row r="89" spans="1:8" ht="18.75" thickBot="1" x14ac:dyDescent="0.3">
      <c r="A89" s="26"/>
      <c r="B89" s="39"/>
      <c r="C89" s="40"/>
      <c r="D89" s="41"/>
      <c r="F89" s="37">
        <f t="shared" si="5"/>
        <v>0</v>
      </c>
      <c r="G89" s="41"/>
      <c r="H89" s="45"/>
    </row>
    <row r="90" spans="1:8" ht="18.75" thickBot="1" x14ac:dyDescent="0.3">
      <c r="A90" s="26"/>
      <c r="B90" s="39"/>
      <c r="C90" s="40"/>
      <c r="D90" s="41"/>
      <c r="F90" s="37">
        <f t="shared" si="5"/>
        <v>0</v>
      </c>
      <c r="G90" s="41"/>
      <c r="H90" s="45"/>
    </row>
    <row r="91" spans="1:8" ht="18.75" thickBot="1" x14ac:dyDescent="0.3">
      <c r="A91" s="26"/>
      <c r="B91" s="39"/>
      <c r="C91" s="40"/>
      <c r="D91" s="41"/>
      <c r="F91" s="37">
        <f t="shared" si="5"/>
        <v>0</v>
      </c>
      <c r="G91" s="41"/>
      <c r="H91" s="45"/>
    </row>
    <row r="92" spans="1:8" ht="18.75" thickBot="1" x14ac:dyDescent="0.3">
      <c r="A92" s="26"/>
      <c r="B92" s="39"/>
      <c r="C92" s="40"/>
      <c r="D92" s="41"/>
      <c r="F92" s="37">
        <f t="shared" si="5"/>
        <v>0</v>
      </c>
      <c r="G92" s="41"/>
      <c r="H92" s="45"/>
    </row>
    <row r="93" spans="1:8" ht="18.75" thickBot="1" x14ac:dyDescent="0.3">
      <c r="A93" s="26"/>
      <c r="B93" s="39"/>
      <c r="C93" s="40"/>
      <c r="D93" s="41"/>
      <c r="F93" s="37">
        <f t="shared" si="5"/>
        <v>0</v>
      </c>
      <c r="G93" s="41"/>
      <c r="H93" s="45"/>
    </row>
    <row r="94" spans="1:8" ht="18.75" thickBot="1" x14ac:dyDescent="0.3">
      <c r="A94" s="26"/>
      <c r="B94" s="39"/>
      <c r="C94" s="40"/>
      <c r="D94" s="41"/>
      <c r="F94" s="37">
        <f t="shared" si="5"/>
        <v>0</v>
      </c>
      <c r="G94" s="41"/>
      <c r="H94" s="45"/>
    </row>
    <row r="95" spans="1:8" ht="18.75" thickBot="1" x14ac:dyDescent="0.3">
      <c r="A95" s="26"/>
      <c r="B95" s="39"/>
      <c r="C95" s="40"/>
      <c r="D95" s="41"/>
      <c r="F95" s="37">
        <f t="shared" si="5"/>
        <v>0</v>
      </c>
      <c r="G95" s="41"/>
      <c r="H95" s="45"/>
    </row>
    <row r="96" spans="1:8" ht="18.75" thickBot="1" x14ac:dyDescent="0.3">
      <c r="A96" s="26"/>
      <c r="B96" s="39"/>
      <c r="C96" s="40"/>
      <c r="D96" s="41"/>
      <c r="F96" s="37">
        <f t="shared" si="5"/>
        <v>0</v>
      </c>
      <c r="G96" s="41"/>
      <c r="H96" s="45"/>
    </row>
    <row r="97" spans="1:8" ht="18.75" thickBot="1" x14ac:dyDescent="0.3">
      <c r="A97" s="26"/>
      <c r="B97" s="39"/>
      <c r="C97" s="40"/>
      <c r="D97" s="41"/>
      <c r="F97" s="37">
        <f t="shared" si="5"/>
        <v>0</v>
      </c>
      <c r="G97" s="41"/>
      <c r="H97" s="45"/>
    </row>
    <row r="98" spans="1:8" ht="18.75" thickBot="1" x14ac:dyDescent="0.3">
      <c r="A98" s="26"/>
      <c r="B98" s="39"/>
      <c r="C98" s="40"/>
      <c r="D98" s="41"/>
      <c r="F98" s="37">
        <f t="shared" si="5"/>
        <v>0</v>
      </c>
      <c r="G98" s="41"/>
      <c r="H98" s="45"/>
    </row>
    <row r="99" spans="1:8" ht="18.75" thickBot="1" x14ac:dyDescent="0.3">
      <c r="A99" s="26"/>
      <c r="B99" s="39"/>
      <c r="C99" s="40"/>
      <c r="D99" s="41"/>
      <c r="F99" s="37">
        <f t="shared" si="5"/>
        <v>0</v>
      </c>
      <c r="G99" s="41"/>
      <c r="H99" s="45"/>
    </row>
    <row r="100" spans="1:8" ht="18.75" thickBot="1" x14ac:dyDescent="0.3">
      <c r="A100" s="26"/>
      <c r="B100" s="39"/>
      <c r="C100" s="40"/>
      <c r="D100" s="41"/>
      <c r="F100" s="37">
        <f t="shared" si="5"/>
        <v>0</v>
      </c>
      <c r="G100" s="41"/>
      <c r="H100" s="45"/>
    </row>
    <row r="101" spans="1:8" ht="18.75" thickBot="1" x14ac:dyDescent="0.3">
      <c r="A101" s="26"/>
      <c r="B101" s="39"/>
      <c r="C101" s="40"/>
      <c r="D101" s="41"/>
      <c r="F101" s="37">
        <f t="shared" si="5"/>
        <v>0</v>
      </c>
      <c r="G101" s="41"/>
      <c r="H101" s="45"/>
    </row>
    <row r="102" spans="1:8" ht="18.75" thickBot="1" x14ac:dyDescent="0.3">
      <c r="A102" s="26"/>
      <c r="B102" s="39"/>
      <c r="C102" s="40"/>
      <c r="D102" s="41"/>
      <c r="F102" s="37">
        <f t="shared" si="5"/>
        <v>0</v>
      </c>
      <c r="G102" s="41"/>
      <c r="H102" s="45"/>
    </row>
    <row r="103" spans="1:8" ht="18.75" thickBot="1" x14ac:dyDescent="0.3">
      <c r="A103" s="26"/>
      <c r="B103" s="39"/>
      <c r="C103" s="40"/>
      <c r="D103" s="41"/>
      <c r="F103" s="37">
        <f t="shared" si="5"/>
        <v>0</v>
      </c>
      <c r="G103" s="41"/>
      <c r="H103" s="45"/>
    </row>
    <row r="104" spans="1:8" ht="18.75" thickBot="1" x14ac:dyDescent="0.3">
      <c r="A104" s="26"/>
      <c r="B104" s="39"/>
      <c r="C104" s="40"/>
      <c r="D104" s="41"/>
      <c r="F104" s="37">
        <f t="shared" si="5"/>
        <v>0</v>
      </c>
      <c r="G104" s="41"/>
      <c r="H104" s="45"/>
    </row>
    <row r="105" spans="1:8" ht="18.75" thickBot="1" x14ac:dyDescent="0.3">
      <c r="A105" s="26"/>
      <c r="B105" s="39"/>
      <c r="C105" s="40"/>
      <c r="D105" s="41"/>
      <c r="F105" s="37">
        <f t="shared" si="5"/>
        <v>0</v>
      </c>
      <c r="G105" s="41"/>
      <c r="H105" s="45"/>
    </row>
    <row r="106" spans="1:8" ht="18.75" thickBot="1" x14ac:dyDescent="0.3">
      <c r="A106" s="26"/>
      <c r="B106" s="39"/>
      <c r="C106" s="40"/>
      <c r="D106" s="41"/>
      <c r="F106" s="37">
        <f t="shared" si="5"/>
        <v>0</v>
      </c>
      <c r="G106" s="41"/>
      <c r="H106" s="45"/>
    </row>
    <row r="107" spans="1:8" ht="18.75" thickBot="1" x14ac:dyDescent="0.3">
      <c r="A107" s="26"/>
      <c r="B107" s="39"/>
      <c r="C107" s="40"/>
      <c r="D107" s="41"/>
      <c r="F107" s="37">
        <f t="shared" si="5"/>
        <v>0</v>
      </c>
      <c r="G107" s="41"/>
      <c r="H107" s="45"/>
    </row>
    <row r="108" spans="1:8" ht="18.75" thickBot="1" x14ac:dyDescent="0.3">
      <c r="A108" s="26"/>
      <c r="B108" s="39"/>
      <c r="C108" s="40"/>
      <c r="D108" s="41"/>
      <c r="F108" s="37">
        <f t="shared" si="5"/>
        <v>0</v>
      </c>
      <c r="G108" s="41"/>
      <c r="H108" s="45"/>
    </row>
    <row r="109" spans="1:8" ht="18.75" thickBot="1" x14ac:dyDescent="0.3">
      <c r="A109" s="26"/>
      <c r="B109" s="39"/>
      <c r="C109" s="40"/>
      <c r="D109" s="41"/>
      <c r="F109" s="37">
        <f t="shared" si="5"/>
        <v>0</v>
      </c>
      <c r="G109" s="41"/>
      <c r="H109" s="45"/>
    </row>
    <row r="110" spans="1:8" ht="18.75" thickBot="1" x14ac:dyDescent="0.3">
      <c r="A110" s="26"/>
      <c r="B110" s="39"/>
      <c r="C110" s="40"/>
      <c r="D110" s="41"/>
      <c r="F110" s="37">
        <f t="shared" si="5"/>
        <v>0</v>
      </c>
      <c r="G110" s="41"/>
      <c r="H110" s="45"/>
    </row>
    <row r="111" spans="1:8" ht="18.75" thickBot="1" x14ac:dyDescent="0.3">
      <c r="A111" s="26"/>
      <c r="B111" s="39"/>
      <c r="C111" s="40"/>
      <c r="D111" s="41"/>
      <c r="F111" s="37">
        <f t="shared" si="5"/>
        <v>0</v>
      </c>
      <c r="G111" s="41"/>
      <c r="H111" s="45"/>
    </row>
    <row r="112" spans="1:8" ht="18.75" thickBot="1" x14ac:dyDescent="0.3">
      <c r="A112" s="26"/>
      <c r="B112" s="39"/>
      <c r="C112" s="40"/>
      <c r="D112" s="41"/>
      <c r="F112" s="37">
        <f t="shared" si="5"/>
        <v>0</v>
      </c>
      <c r="G112" s="41"/>
      <c r="H112" s="45"/>
    </row>
    <row r="113" spans="1:8" ht="18.75" thickBot="1" x14ac:dyDescent="0.3">
      <c r="A113" s="26"/>
      <c r="B113" s="39"/>
      <c r="C113" s="40"/>
      <c r="D113" s="41"/>
      <c r="F113" s="37">
        <f t="shared" si="5"/>
        <v>0</v>
      </c>
      <c r="G113" s="41"/>
      <c r="H113" s="45"/>
    </row>
    <row r="114" spans="1:8" ht="18.75" thickBot="1" x14ac:dyDescent="0.3">
      <c r="A114" s="26"/>
      <c r="B114" s="39"/>
      <c r="C114" s="40"/>
      <c r="D114" s="41"/>
      <c r="F114" s="37">
        <f t="shared" si="5"/>
        <v>0</v>
      </c>
      <c r="G114" s="41"/>
      <c r="H114" s="45"/>
    </row>
    <row r="115" spans="1:8" ht="18.75" thickBot="1" x14ac:dyDescent="0.3">
      <c r="A115" s="26"/>
      <c r="B115" s="39"/>
      <c r="C115" s="40"/>
      <c r="D115" s="41"/>
      <c r="F115" s="37">
        <f t="shared" si="5"/>
        <v>0</v>
      </c>
      <c r="G115" s="41"/>
      <c r="H115" s="45"/>
    </row>
    <row r="116" spans="1:8" ht="18.75" thickBot="1" x14ac:dyDescent="0.3">
      <c r="A116" s="26"/>
      <c r="B116" s="39"/>
      <c r="C116" s="40"/>
      <c r="D116" s="41"/>
      <c r="F116" s="37">
        <f t="shared" si="5"/>
        <v>0</v>
      </c>
      <c r="G116" s="41"/>
      <c r="H116" s="45"/>
    </row>
    <row r="117" spans="1:8" ht="18.75" thickBot="1" x14ac:dyDescent="0.3">
      <c r="A117" s="26"/>
      <c r="B117" s="39"/>
      <c r="C117" s="40"/>
      <c r="D117" s="41"/>
      <c r="F117" s="37">
        <f t="shared" ref="F117:F180" si="6">G117*H117+G117</f>
        <v>0</v>
      </c>
      <c r="G117" s="41"/>
      <c r="H117" s="45"/>
    </row>
    <row r="118" spans="1:8" ht="18.75" thickBot="1" x14ac:dyDescent="0.3">
      <c r="A118" s="26"/>
      <c r="B118" s="39"/>
      <c r="C118" s="40"/>
      <c r="D118" s="41"/>
      <c r="F118" s="37">
        <f t="shared" si="6"/>
        <v>0</v>
      </c>
      <c r="G118" s="41"/>
      <c r="H118" s="45"/>
    </row>
    <row r="119" spans="1:8" ht="18.75" thickBot="1" x14ac:dyDescent="0.3">
      <c r="A119" s="26"/>
      <c r="B119" s="39"/>
      <c r="C119" s="40"/>
      <c r="D119" s="41"/>
      <c r="F119" s="37">
        <f t="shared" si="6"/>
        <v>0</v>
      </c>
      <c r="G119" s="41"/>
      <c r="H119" s="45"/>
    </row>
    <row r="120" spans="1:8" ht="18.75" thickBot="1" x14ac:dyDescent="0.3">
      <c r="A120" s="26"/>
      <c r="B120" s="39"/>
      <c r="C120" s="40"/>
      <c r="D120" s="41"/>
      <c r="F120" s="37">
        <f t="shared" si="6"/>
        <v>0</v>
      </c>
      <c r="G120" s="41"/>
      <c r="H120" s="45"/>
    </row>
    <row r="121" spans="1:8" ht="18.75" thickBot="1" x14ac:dyDescent="0.3">
      <c r="A121" s="26"/>
      <c r="B121" s="39"/>
      <c r="C121" s="40"/>
      <c r="D121" s="41"/>
      <c r="F121" s="37">
        <f t="shared" si="6"/>
        <v>0</v>
      </c>
      <c r="G121" s="41"/>
      <c r="H121" s="45"/>
    </row>
    <row r="122" spans="1:8" ht="18.75" thickBot="1" x14ac:dyDescent="0.3">
      <c r="A122" s="26"/>
      <c r="B122" s="39"/>
      <c r="C122" s="40"/>
      <c r="D122" s="41"/>
      <c r="F122" s="37">
        <f t="shared" si="6"/>
        <v>0</v>
      </c>
      <c r="G122" s="41"/>
      <c r="H122" s="45"/>
    </row>
    <row r="123" spans="1:8" ht="18.75" thickBot="1" x14ac:dyDescent="0.3">
      <c r="A123" s="26"/>
      <c r="B123" s="39"/>
      <c r="C123" s="40"/>
      <c r="D123" s="41"/>
      <c r="F123" s="37">
        <f t="shared" si="6"/>
        <v>0</v>
      </c>
      <c r="G123" s="41"/>
      <c r="H123" s="45"/>
    </row>
    <row r="124" spans="1:8" ht="18.75" thickBot="1" x14ac:dyDescent="0.3">
      <c r="A124" s="26"/>
      <c r="B124" s="39"/>
      <c r="C124" s="40"/>
      <c r="D124" s="41"/>
      <c r="F124" s="37">
        <f t="shared" si="6"/>
        <v>0</v>
      </c>
      <c r="G124" s="41"/>
      <c r="H124" s="45"/>
    </row>
    <row r="125" spans="1:8" ht="18.75" thickBot="1" x14ac:dyDescent="0.3">
      <c r="A125" s="26"/>
      <c r="B125" s="39"/>
      <c r="C125" s="40"/>
      <c r="D125" s="41"/>
      <c r="F125" s="37">
        <f t="shared" si="6"/>
        <v>0</v>
      </c>
      <c r="G125" s="41"/>
      <c r="H125" s="45"/>
    </row>
    <row r="126" spans="1:8" ht="18.75" thickBot="1" x14ac:dyDescent="0.3">
      <c r="A126" s="26"/>
      <c r="B126" s="39"/>
      <c r="C126" s="40"/>
      <c r="D126" s="41"/>
      <c r="F126" s="37">
        <f t="shared" si="6"/>
        <v>0</v>
      </c>
      <c r="G126" s="41"/>
      <c r="H126" s="45"/>
    </row>
    <row r="127" spans="1:8" ht="18.75" thickBot="1" x14ac:dyDescent="0.3">
      <c r="A127" s="26"/>
      <c r="B127" s="39"/>
      <c r="C127" s="40"/>
      <c r="D127" s="41"/>
      <c r="F127" s="37">
        <f t="shared" si="6"/>
        <v>0</v>
      </c>
      <c r="G127" s="41"/>
      <c r="H127" s="45"/>
    </row>
    <row r="128" spans="1:8" ht="18.75" thickBot="1" x14ac:dyDescent="0.3">
      <c r="A128" s="26"/>
      <c r="B128" s="39"/>
      <c r="C128" s="40"/>
      <c r="D128" s="41"/>
      <c r="F128" s="37">
        <f t="shared" si="6"/>
        <v>0</v>
      </c>
      <c r="G128" s="41"/>
      <c r="H128" s="45"/>
    </row>
    <row r="129" spans="1:8" ht="18.75" thickBot="1" x14ac:dyDescent="0.3">
      <c r="A129" s="26"/>
      <c r="B129" s="39"/>
      <c r="C129" s="40"/>
      <c r="D129" s="41"/>
      <c r="F129" s="37">
        <f t="shared" si="6"/>
        <v>0</v>
      </c>
      <c r="G129" s="41"/>
      <c r="H129" s="45"/>
    </row>
    <row r="130" spans="1:8" ht="18.75" thickBot="1" x14ac:dyDescent="0.3">
      <c r="A130" s="26"/>
      <c r="B130" s="39"/>
      <c r="C130" s="40"/>
      <c r="D130" s="41"/>
      <c r="F130" s="37">
        <f t="shared" si="6"/>
        <v>0</v>
      </c>
      <c r="G130" s="41"/>
      <c r="H130" s="45"/>
    </row>
    <row r="131" spans="1:8" ht="18.75" thickBot="1" x14ac:dyDescent="0.3">
      <c r="A131" s="26"/>
      <c r="B131" s="39"/>
      <c r="C131" s="40"/>
      <c r="D131" s="41"/>
      <c r="F131" s="37">
        <f t="shared" si="6"/>
        <v>0</v>
      </c>
      <c r="G131" s="41"/>
      <c r="H131" s="45"/>
    </row>
    <row r="132" spans="1:8" ht="18.75" thickBot="1" x14ac:dyDescent="0.3">
      <c r="A132" s="26"/>
      <c r="B132" s="39"/>
      <c r="C132" s="40"/>
      <c r="D132" s="41"/>
      <c r="F132" s="37">
        <f t="shared" si="6"/>
        <v>0</v>
      </c>
      <c r="G132" s="41"/>
      <c r="H132" s="45"/>
    </row>
    <row r="133" spans="1:8" ht="18.75" thickBot="1" x14ac:dyDescent="0.3">
      <c r="A133" s="26"/>
      <c r="B133" s="39"/>
      <c r="C133" s="40"/>
      <c r="D133" s="41"/>
      <c r="F133" s="37">
        <f t="shared" si="6"/>
        <v>0</v>
      </c>
      <c r="G133" s="41"/>
      <c r="H133" s="45"/>
    </row>
    <row r="134" spans="1:8" ht="18.75" thickBot="1" x14ac:dyDescent="0.3">
      <c r="A134" s="26"/>
      <c r="B134" s="39"/>
      <c r="C134" s="40"/>
      <c r="D134" s="41"/>
      <c r="F134" s="37">
        <f t="shared" si="6"/>
        <v>0</v>
      </c>
      <c r="G134" s="41"/>
      <c r="H134" s="45"/>
    </row>
    <row r="135" spans="1:8" ht="18.75" thickBot="1" x14ac:dyDescent="0.3">
      <c r="A135" s="26"/>
      <c r="B135" s="39"/>
      <c r="C135" s="40"/>
      <c r="D135" s="41"/>
      <c r="F135" s="37">
        <f t="shared" si="6"/>
        <v>0</v>
      </c>
      <c r="G135" s="41"/>
      <c r="H135" s="45"/>
    </row>
    <row r="136" spans="1:8" ht="18.75" thickBot="1" x14ac:dyDescent="0.3">
      <c r="A136" s="26"/>
      <c r="B136" s="39"/>
      <c r="C136" s="40"/>
      <c r="D136" s="41"/>
      <c r="F136" s="37">
        <f t="shared" si="6"/>
        <v>0</v>
      </c>
      <c r="G136" s="41"/>
      <c r="H136" s="45"/>
    </row>
    <row r="137" spans="1:8" ht="18.75" thickBot="1" x14ac:dyDescent="0.3">
      <c r="A137" s="26"/>
      <c r="B137" s="39"/>
      <c r="C137" s="40"/>
      <c r="D137" s="41"/>
      <c r="F137" s="37">
        <f t="shared" si="6"/>
        <v>0</v>
      </c>
      <c r="G137" s="41"/>
      <c r="H137" s="45"/>
    </row>
    <row r="138" spans="1:8" ht="18.75" thickBot="1" x14ac:dyDescent="0.3">
      <c r="A138" s="26"/>
      <c r="B138" s="39"/>
      <c r="C138" s="40"/>
      <c r="D138" s="41"/>
      <c r="F138" s="37">
        <f t="shared" si="6"/>
        <v>0</v>
      </c>
      <c r="G138" s="41"/>
      <c r="H138" s="45"/>
    </row>
    <row r="139" spans="1:8" ht="18.75" thickBot="1" x14ac:dyDescent="0.3">
      <c r="A139" s="26"/>
      <c r="B139" s="39"/>
      <c r="C139" s="40"/>
      <c r="D139" s="41"/>
      <c r="F139" s="37">
        <f t="shared" si="6"/>
        <v>0</v>
      </c>
      <c r="G139" s="41"/>
      <c r="H139" s="45"/>
    </row>
    <row r="140" spans="1:8" ht="18.75" thickBot="1" x14ac:dyDescent="0.3">
      <c r="A140" s="26"/>
      <c r="B140" s="39"/>
      <c r="C140" s="40"/>
      <c r="D140" s="41"/>
      <c r="F140" s="37">
        <f t="shared" si="6"/>
        <v>0</v>
      </c>
      <c r="G140" s="41"/>
      <c r="H140" s="45"/>
    </row>
    <row r="141" spans="1:8" ht="18.75" thickBot="1" x14ac:dyDescent="0.3">
      <c r="A141" s="26"/>
      <c r="B141" s="39"/>
      <c r="C141" s="40"/>
      <c r="D141" s="41"/>
      <c r="F141" s="37">
        <f t="shared" si="6"/>
        <v>0</v>
      </c>
      <c r="G141" s="41"/>
      <c r="H141" s="45"/>
    </row>
    <row r="142" spans="1:8" ht="18.75" thickBot="1" x14ac:dyDescent="0.3">
      <c r="A142" s="26"/>
      <c r="B142" s="39"/>
      <c r="C142" s="40"/>
      <c r="D142" s="41"/>
      <c r="F142" s="37">
        <f t="shared" si="6"/>
        <v>0</v>
      </c>
      <c r="G142" s="41"/>
      <c r="H142" s="45"/>
    </row>
    <row r="143" spans="1:8" ht="18.75" thickBot="1" x14ac:dyDescent="0.3">
      <c r="A143" s="26"/>
      <c r="B143" s="39"/>
      <c r="C143" s="40"/>
      <c r="D143" s="41"/>
      <c r="F143" s="37">
        <f t="shared" si="6"/>
        <v>0</v>
      </c>
      <c r="G143" s="41"/>
      <c r="H143" s="45"/>
    </row>
    <row r="144" spans="1:8" ht="18.75" thickBot="1" x14ac:dyDescent="0.3">
      <c r="A144" s="26"/>
      <c r="B144" s="39"/>
      <c r="C144" s="40"/>
      <c r="D144" s="41"/>
      <c r="F144" s="37">
        <f t="shared" si="6"/>
        <v>0</v>
      </c>
      <c r="G144" s="41"/>
      <c r="H144" s="45"/>
    </row>
    <row r="145" spans="1:8" ht="18.75" thickBot="1" x14ac:dyDescent="0.3">
      <c r="A145" s="26"/>
      <c r="B145" s="39"/>
      <c r="C145" s="40"/>
      <c r="D145" s="41"/>
      <c r="F145" s="37">
        <f t="shared" si="6"/>
        <v>0</v>
      </c>
      <c r="G145" s="41"/>
      <c r="H145" s="45"/>
    </row>
    <row r="146" spans="1:8" ht="18.75" thickBot="1" x14ac:dyDescent="0.3">
      <c r="A146" s="26"/>
      <c r="B146" s="39"/>
      <c r="C146" s="40"/>
      <c r="D146" s="41"/>
      <c r="F146" s="37">
        <f t="shared" si="6"/>
        <v>0</v>
      </c>
      <c r="G146" s="41"/>
      <c r="H146" s="45"/>
    </row>
    <row r="147" spans="1:8" ht="18.75" thickBot="1" x14ac:dyDescent="0.3">
      <c r="A147" s="26"/>
      <c r="B147" s="39"/>
      <c r="C147" s="40"/>
      <c r="D147" s="41"/>
      <c r="F147" s="37">
        <f t="shared" si="6"/>
        <v>0</v>
      </c>
      <c r="G147" s="41"/>
      <c r="H147" s="45"/>
    </row>
    <row r="148" spans="1:8" ht="18.75" thickBot="1" x14ac:dyDescent="0.3">
      <c r="A148" s="26"/>
      <c r="B148" s="39"/>
      <c r="C148" s="40"/>
      <c r="D148" s="41"/>
      <c r="F148" s="37">
        <f t="shared" si="6"/>
        <v>0</v>
      </c>
      <c r="G148" s="41"/>
      <c r="H148" s="45"/>
    </row>
    <row r="149" spans="1:8" ht="18.75" thickBot="1" x14ac:dyDescent="0.3">
      <c r="A149" s="26"/>
      <c r="B149" s="39"/>
      <c r="C149" s="40"/>
      <c r="D149" s="41"/>
      <c r="F149" s="37">
        <f t="shared" si="6"/>
        <v>0</v>
      </c>
      <c r="G149" s="41"/>
      <c r="H149" s="45"/>
    </row>
    <row r="150" spans="1:8" ht="18.75" thickBot="1" x14ac:dyDescent="0.3">
      <c r="A150" s="26"/>
      <c r="B150" s="39"/>
      <c r="C150" s="40"/>
      <c r="D150" s="41"/>
      <c r="F150" s="37">
        <f t="shared" si="6"/>
        <v>0</v>
      </c>
      <c r="G150" s="41"/>
      <c r="H150" s="45"/>
    </row>
    <row r="151" spans="1:8" ht="18.75" thickBot="1" x14ac:dyDescent="0.3">
      <c r="A151" s="26"/>
      <c r="B151" s="39"/>
      <c r="C151" s="40"/>
      <c r="D151" s="41"/>
      <c r="F151" s="37">
        <f t="shared" si="6"/>
        <v>0</v>
      </c>
      <c r="G151" s="41"/>
      <c r="H151" s="45"/>
    </row>
    <row r="152" spans="1:8" ht="18.75" thickBot="1" x14ac:dyDescent="0.3">
      <c r="A152" s="26"/>
      <c r="B152" s="39"/>
      <c r="C152" s="40"/>
      <c r="D152" s="41"/>
      <c r="F152" s="37">
        <f t="shared" si="6"/>
        <v>0</v>
      </c>
      <c r="G152" s="41"/>
      <c r="H152" s="45"/>
    </row>
    <row r="153" spans="1:8" ht="18.75" thickBot="1" x14ac:dyDescent="0.3">
      <c r="A153" s="26"/>
      <c r="B153" s="39"/>
      <c r="C153" s="40"/>
      <c r="D153" s="41"/>
      <c r="F153" s="37">
        <f t="shared" si="6"/>
        <v>0</v>
      </c>
      <c r="G153" s="41"/>
      <c r="H153" s="45"/>
    </row>
    <row r="154" spans="1:8" ht="18.75" thickBot="1" x14ac:dyDescent="0.3">
      <c r="A154" s="26"/>
      <c r="B154" s="39"/>
      <c r="C154" s="40"/>
      <c r="D154" s="41"/>
      <c r="F154" s="37">
        <f t="shared" si="6"/>
        <v>0</v>
      </c>
      <c r="G154" s="41"/>
      <c r="H154" s="45"/>
    </row>
    <row r="155" spans="1:8" ht="18.75" thickBot="1" x14ac:dyDescent="0.3">
      <c r="A155" s="26"/>
      <c r="B155" s="39"/>
      <c r="C155" s="40"/>
      <c r="D155" s="41"/>
      <c r="F155" s="37">
        <f t="shared" si="6"/>
        <v>0</v>
      </c>
      <c r="G155" s="41"/>
      <c r="H155" s="45"/>
    </row>
    <row r="156" spans="1:8" ht="18.75" thickBot="1" x14ac:dyDescent="0.3">
      <c r="A156" s="26"/>
      <c r="B156" s="39"/>
      <c r="C156" s="40"/>
      <c r="D156" s="41"/>
      <c r="F156" s="37">
        <f t="shared" si="6"/>
        <v>0</v>
      </c>
      <c r="G156" s="41"/>
      <c r="H156" s="45"/>
    </row>
    <row r="157" spans="1:8" ht="18.75" thickBot="1" x14ac:dyDescent="0.3">
      <c r="A157" s="26"/>
      <c r="B157" s="39"/>
      <c r="C157" s="40"/>
      <c r="D157" s="41"/>
      <c r="F157" s="37">
        <f t="shared" si="6"/>
        <v>0</v>
      </c>
      <c r="G157" s="41"/>
      <c r="H157" s="45"/>
    </row>
    <row r="158" spans="1:8" ht="18.75" thickBot="1" x14ac:dyDescent="0.3">
      <c r="A158" s="26"/>
      <c r="B158" s="39"/>
      <c r="C158" s="40"/>
      <c r="D158" s="41"/>
      <c r="F158" s="37">
        <f t="shared" si="6"/>
        <v>0</v>
      </c>
      <c r="G158" s="41"/>
      <c r="H158" s="45"/>
    </row>
    <row r="159" spans="1:8" ht="18.75" thickBot="1" x14ac:dyDescent="0.3">
      <c r="A159" s="26"/>
      <c r="B159" s="39"/>
      <c r="C159" s="40"/>
      <c r="D159" s="41"/>
      <c r="F159" s="37">
        <f t="shared" si="6"/>
        <v>0</v>
      </c>
      <c r="G159" s="41"/>
      <c r="H159" s="45"/>
    </row>
    <row r="160" spans="1:8" ht="18.75" thickBot="1" x14ac:dyDescent="0.3">
      <c r="A160" s="26"/>
      <c r="B160" s="39"/>
      <c r="C160" s="40"/>
      <c r="D160" s="41"/>
      <c r="F160" s="37">
        <f t="shared" si="6"/>
        <v>0</v>
      </c>
      <c r="G160" s="41"/>
      <c r="H160" s="45"/>
    </row>
    <row r="161" spans="1:8" ht="18.75" thickBot="1" x14ac:dyDescent="0.3">
      <c r="A161" s="26"/>
      <c r="B161" s="39"/>
      <c r="C161" s="40"/>
      <c r="D161" s="41"/>
      <c r="F161" s="37">
        <f t="shared" si="6"/>
        <v>0</v>
      </c>
      <c r="G161" s="41"/>
      <c r="H161" s="45"/>
    </row>
    <row r="162" spans="1:8" ht="18.75" thickBot="1" x14ac:dyDescent="0.3">
      <c r="A162" s="26"/>
      <c r="B162" s="39"/>
      <c r="C162" s="40"/>
      <c r="D162" s="41"/>
      <c r="F162" s="37">
        <f t="shared" si="6"/>
        <v>0</v>
      </c>
      <c r="G162" s="41"/>
      <c r="H162" s="45"/>
    </row>
    <row r="163" spans="1:8" ht="18.75" thickBot="1" x14ac:dyDescent="0.3">
      <c r="A163" s="26"/>
      <c r="B163" s="39"/>
      <c r="C163" s="40"/>
      <c r="D163" s="41"/>
      <c r="F163" s="37">
        <f t="shared" si="6"/>
        <v>0</v>
      </c>
      <c r="G163" s="41"/>
      <c r="H163" s="45"/>
    </row>
    <row r="164" spans="1:8" ht="18.75" thickBot="1" x14ac:dyDescent="0.3">
      <c r="A164" s="26"/>
      <c r="B164" s="39"/>
      <c r="C164" s="40"/>
      <c r="D164" s="41"/>
      <c r="F164" s="37">
        <f t="shared" si="6"/>
        <v>0</v>
      </c>
      <c r="G164" s="41"/>
      <c r="H164" s="45"/>
    </row>
    <row r="165" spans="1:8" ht="18.75" thickBot="1" x14ac:dyDescent="0.3">
      <c r="A165" s="26"/>
      <c r="B165" s="39"/>
      <c r="C165" s="40"/>
      <c r="D165" s="41"/>
      <c r="F165" s="37">
        <f t="shared" si="6"/>
        <v>0</v>
      </c>
      <c r="G165" s="41"/>
      <c r="H165" s="45"/>
    </row>
    <row r="166" spans="1:8" ht="18.75" thickBot="1" x14ac:dyDescent="0.3">
      <c r="A166" s="26"/>
      <c r="B166" s="39"/>
      <c r="C166" s="40"/>
      <c r="D166" s="41"/>
      <c r="F166" s="37">
        <f t="shared" si="6"/>
        <v>0</v>
      </c>
      <c r="G166" s="41"/>
      <c r="H166" s="45"/>
    </row>
    <row r="167" spans="1:8" ht="18.75" thickBot="1" x14ac:dyDescent="0.3">
      <c r="A167" s="26"/>
      <c r="B167" s="39"/>
      <c r="C167" s="40"/>
      <c r="D167" s="41"/>
      <c r="F167" s="37">
        <f t="shared" si="6"/>
        <v>0</v>
      </c>
      <c r="G167" s="41"/>
      <c r="H167" s="45"/>
    </row>
    <row r="168" spans="1:8" ht="18.75" thickBot="1" x14ac:dyDescent="0.3">
      <c r="A168" s="26"/>
      <c r="B168" s="39"/>
      <c r="C168" s="40"/>
      <c r="D168" s="41"/>
      <c r="F168" s="37">
        <f t="shared" si="6"/>
        <v>0</v>
      </c>
      <c r="G168" s="41"/>
      <c r="H168" s="45"/>
    </row>
    <row r="169" spans="1:8" ht="18.75" thickBot="1" x14ac:dyDescent="0.3">
      <c r="A169" s="26"/>
      <c r="B169" s="39"/>
      <c r="C169" s="40"/>
      <c r="D169" s="41"/>
      <c r="F169" s="37">
        <f t="shared" si="6"/>
        <v>0</v>
      </c>
      <c r="G169" s="41"/>
      <c r="H169" s="45"/>
    </row>
    <row r="170" spans="1:8" ht="18.75" thickBot="1" x14ac:dyDescent="0.3">
      <c r="A170" s="26"/>
      <c r="B170" s="39"/>
      <c r="C170" s="40"/>
      <c r="D170" s="41"/>
      <c r="F170" s="37">
        <f t="shared" si="6"/>
        <v>0</v>
      </c>
      <c r="G170" s="41"/>
      <c r="H170" s="45"/>
    </row>
    <row r="171" spans="1:8" ht="18.75" thickBot="1" x14ac:dyDescent="0.3">
      <c r="A171" s="26"/>
      <c r="B171" s="39"/>
      <c r="C171" s="40"/>
      <c r="D171" s="41"/>
      <c r="F171" s="37">
        <f t="shared" si="6"/>
        <v>0</v>
      </c>
      <c r="G171" s="41"/>
      <c r="H171" s="45"/>
    </row>
    <row r="172" spans="1:8" ht="18.75" thickBot="1" x14ac:dyDescent="0.3">
      <c r="A172" s="26"/>
      <c r="B172" s="39"/>
      <c r="C172" s="40"/>
      <c r="D172" s="41"/>
      <c r="F172" s="37">
        <f t="shared" si="6"/>
        <v>0</v>
      </c>
      <c r="G172" s="41"/>
      <c r="H172" s="45"/>
    </row>
    <row r="173" spans="1:8" ht="18.75" thickBot="1" x14ac:dyDescent="0.3">
      <c r="A173" s="26"/>
      <c r="B173" s="39"/>
      <c r="C173" s="40"/>
      <c r="D173" s="41"/>
      <c r="F173" s="37">
        <f t="shared" si="6"/>
        <v>0</v>
      </c>
      <c r="G173" s="41"/>
      <c r="H173" s="45"/>
    </row>
    <row r="174" spans="1:8" ht="18.75" thickBot="1" x14ac:dyDescent="0.3">
      <c r="A174" s="26"/>
      <c r="B174" s="39"/>
      <c r="C174" s="40"/>
      <c r="D174" s="41"/>
      <c r="F174" s="37">
        <f t="shared" si="6"/>
        <v>0</v>
      </c>
      <c r="G174" s="41"/>
      <c r="H174" s="45"/>
    </row>
    <row r="175" spans="1:8" ht="18.75" thickBot="1" x14ac:dyDescent="0.3">
      <c r="A175" s="26"/>
      <c r="B175" s="39"/>
      <c r="C175" s="40"/>
      <c r="D175" s="41"/>
      <c r="F175" s="37">
        <f t="shared" si="6"/>
        <v>0</v>
      </c>
      <c r="G175" s="41"/>
      <c r="H175" s="45"/>
    </row>
    <row r="176" spans="1:8" ht="18.75" thickBot="1" x14ac:dyDescent="0.3">
      <c r="A176" s="26"/>
      <c r="B176" s="39"/>
      <c r="C176" s="40"/>
      <c r="D176" s="41"/>
      <c r="F176" s="37">
        <f t="shared" si="6"/>
        <v>0</v>
      </c>
      <c r="G176" s="41"/>
      <c r="H176" s="45"/>
    </row>
    <row r="177" spans="1:8" ht="18.75" thickBot="1" x14ac:dyDescent="0.3">
      <c r="A177" s="26"/>
      <c r="B177" s="39"/>
      <c r="C177" s="40"/>
      <c r="D177" s="41"/>
      <c r="F177" s="37">
        <f t="shared" si="6"/>
        <v>0</v>
      </c>
      <c r="G177" s="41"/>
      <c r="H177" s="45"/>
    </row>
    <row r="178" spans="1:8" ht="18.75" thickBot="1" x14ac:dyDescent="0.3">
      <c r="A178" s="26"/>
      <c r="B178" s="39"/>
      <c r="C178" s="40"/>
      <c r="D178" s="41"/>
      <c r="F178" s="37">
        <f t="shared" si="6"/>
        <v>0</v>
      </c>
      <c r="G178" s="41"/>
      <c r="H178" s="45"/>
    </row>
    <row r="179" spans="1:8" ht="18.75" thickBot="1" x14ac:dyDescent="0.3">
      <c r="A179" s="26"/>
      <c r="B179" s="39"/>
      <c r="C179" s="40"/>
      <c r="D179" s="41"/>
      <c r="F179" s="37">
        <f t="shared" si="6"/>
        <v>0</v>
      </c>
      <c r="G179" s="41"/>
      <c r="H179" s="45"/>
    </row>
    <row r="180" spans="1:8" ht="18.75" thickBot="1" x14ac:dyDescent="0.3">
      <c r="A180" s="26"/>
      <c r="B180" s="39"/>
      <c r="C180" s="40"/>
      <c r="D180" s="41"/>
      <c r="F180" s="37">
        <f t="shared" si="6"/>
        <v>0</v>
      </c>
      <c r="G180" s="41"/>
      <c r="H180" s="45"/>
    </row>
    <row r="181" spans="1:8" ht="18.75" thickBot="1" x14ac:dyDescent="0.3">
      <c r="A181" s="26"/>
      <c r="B181" s="39"/>
      <c r="C181" s="40"/>
      <c r="D181" s="41"/>
      <c r="F181" s="37">
        <f t="shared" ref="F181:F187" si="7">G181*H181+G181</f>
        <v>0</v>
      </c>
      <c r="G181" s="41"/>
      <c r="H181" s="45"/>
    </row>
    <row r="182" spans="1:8" ht="18.75" thickBot="1" x14ac:dyDescent="0.3">
      <c r="A182" s="26"/>
      <c r="B182" s="39"/>
      <c r="C182" s="40"/>
      <c r="D182" s="41"/>
      <c r="F182" s="37">
        <f t="shared" si="7"/>
        <v>0</v>
      </c>
      <c r="G182" s="41"/>
      <c r="H182" s="45"/>
    </row>
    <row r="183" spans="1:8" ht="18.75" thickBot="1" x14ac:dyDescent="0.3">
      <c r="A183" s="26"/>
      <c r="B183" s="39"/>
      <c r="C183" s="40"/>
      <c r="D183" s="41"/>
      <c r="F183" s="37">
        <f t="shared" si="7"/>
        <v>0</v>
      </c>
      <c r="G183" s="41"/>
      <c r="H183" s="45"/>
    </row>
    <row r="184" spans="1:8" ht="18.75" thickBot="1" x14ac:dyDescent="0.3">
      <c r="A184" s="26"/>
      <c r="B184" s="39"/>
      <c r="C184" s="40"/>
      <c r="D184" s="41"/>
      <c r="F184" s="37">
        <f t="shared" si="7"/>
        <v>0</v>
      </c>
      <c r="G184" s="41"/>
      <c r="H184" s="45"/>
    </row>
    <row r="185" spans="1:8" ht="18.75" thickBot="1" x14ac:dyDescent="0.3">
      <c r="A185" s="26"/>
      <c r="B185" s="39"/>
      <c r="C185" s="40"/>
      <c r="D185" s="41"/>
      <c r="F185" s="37">
        <f t="shared" si="7"/>
        <v>0</v>
      </c>
      <c r="G185" s="41"/>
      <c r="H185" s="45"/>
    </row>
    <row r="186" spans="1:8" ht="18.75" thickBot="1" x14ac:dyDescent="0.3">
      <c r="A186" s="27"/>
      <c r="B186" s="42"/>
      <c r="C186" s="43"/>
      <c r="D186" s="44"/>
      <c r="F186" s="37">
        <f t="shared" si="7"/>
        <v>0</v>
      </c>
      <c r="G186" s="44"/>
      <c r="H186" s="46"/>
    </row>
    <row r="187" spans="1:8" ht="16.5" thickBot="1" x14ac:dyDescent="0.3">
      <c r="A187" s="28"/>
      <c r="B187" s="29"/>
      <c r="C187" s="28"/>
      <c r="D187" s="30"/>
      <c r="F187" s="37">
        <f t="shared" si="7"/>
        <v>0</v>
      </c>
      <c r="G187" s="30"/>
      <c r="H187" s="35"/>
    </row>
  </sheetData>
  <sortState ref="A4:D33">
    <sortCondition ref="B4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L18" sqref="L18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"/>
  <sheetViews>
    <sheetView workbookViewId="0"/>
  </sheetViews>
  <sheetFormatPr defaultRowHeight="12.75" x14ac:dyDescent="0.2"/>
  <cols>
    <col min="1" max="1" width="30.85546875" customWidth="1"/>
  </cols>
  <sheetData>
    <row r="2" spans="1:1" ht="25.5" x14ac:dyDescent="0.35">
      <c r="A2" s="147">
        <f>ORÇ!B6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ORÇ</vt:lpstr>
      <vt:lpstr>CUSTO</vt:lpstr>
      <vt:lpstr>CALCULO</vt:lpstr>
      <vt:lpstr>PRODUTOS</vt:lpstr>
      <vt:lpstr>Plan2</vt:lpstr>
      <vt:lpstr>Plan1</vt:lpstr>
      <vt:lpstr>Plan3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2013-09-09T17:48:51Z</dcterms:created>
  <dcterms:modified xsi:type="dcterms:W3CDTF">2025-05-15T12:33:31Z</dcterms:modified>
</cp:coreProperties>
</file>